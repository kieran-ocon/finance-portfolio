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anoconnell/Desktop/portfolio - Main/"/>
    </mc:Choice>
  </mc:AlternateContent>
  <xr:revisionPtr revIDLastSave="0" documentId="13_ncr:1_{6709B9BE-11CA-4443-8B78-7638F9AEFB3C}" xr6:coauthVersionLast="47" xr6:coauthVersionMax="47" xr10:uidLastSave="{00000000-0000-0000-0000-000000000000}"/>
  <bookViews>
    <workbookView xWindow="-38400" yWindow="0" windowWidth="38400" windowHeight="21600" activeTab="7" xr2:uid="{8336B80D-68BD-214C-A3D1-13CFBDD0A36D}"/>
  </bookViews>
  <sheets>
    <sheet name="README" sheetId="9" r:id="rId1"/>
    <sheet name="TRANSACTION" sheetId="3" r:id="rId2"/>
    <sheet name="INPUTS" sheetId="2" r:id="rId3"/>
    <sheet name="SOURCES_USES" sheetId="4" r:id="rId4"/>
    <sheet name="DEBT" sheetId="5" r:id="rId5"/>
    <sheet name="OPS" sheetId="6" r:id="rId6"/>
    <sheet name="FIN_STMNTS" sheetId="7" r:id="rId7"/>
    <sheet name="RETURNS" sheetId="8" r:id="rId8"/>
  </sheets>
  <definedNames>
    <definedName name="All_in_Rate">INPUTS!$B$13</definedName>
    <definedName name="Amoritization">INPUTS!$B$14</definedName>
    <definedName name="BaseRate">INPUTS!$B$11</definedName>
    <definedName name="Cash_Sweep">INPUTS!$B$15</definedName>
    <definedName name="Debt_EV">INPUTS!$B$9</definedName>
    <definedName name="Enterprise_Value">INPUTS!$B$4</definedName>
    <definedName name="Entry_EBITDA">INPUTS!$B$2</definedName>
    <definedName name="Entry_Multiple">INPUTS!$B$3</definedName>
    <definedName name="Exit_Multiple">INPUTS!$B$5</definedName>
    <definedName name="Holding_Period">INPUTS!$B$6</definedName>
    <definedName name="Min_Cash">INPUTS!$B$16</definedName>
    <definedName name="Spread_TLB">INPUTS!$B$12</definedName>
    <definedName name="Tax_Rate">INPUTS!$B$23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E2" i="6" s="1"/>
  <c r="F2" i="6" s="1"/>
  <c r="B2" i="6"/>
  <c r="C2" i="6" s="1"/>
  <c r="B12" i="8"/>
  <c r="B8" i="8"/>
  <c r="C33" i="7"/>
  <c r="D33" i="7"/>
  <c r="E33" i="7"/>
  <c r="F33" i="7"/>
  <c r="C35" i="7"/>
  <c r="D35" i="7"/>
  <c r="E35" i="7"/>
  <c r="F35" i="7"/>
  <c r="B35" i="7"/>
  <c r="B33" i="7"/>
  <c r="B23" i="7"/>
  <c r="B20" i="7" a="1"/>
  <c r="B20" i="7" s="1"/>
  <c r="B21" i="7" s="1"/>
  <c r="B6" i="6"/>
  <c r="D6" i="5"/>
  <c r="C5" i="5"/>
  <c r="E7" i="5"/>
  <c r="F7" i="5"/>
  <c r="G7" i="5"/>
  <c r="H7" i="5"/>
  <c r="D7" i="5"/>
  <c r="C4" i="5"/>
  <c r="D5" i="5"/>
  <c r="E5" i="5"/>
  <c r="F5" i="5"/>
  <c r="G5" i="5"/>
  <c r="H5" i="5"/>
  <c r="B7" i="4"/>
  <c r="B4" i="4"/>
  <c r="B3" i="4"/>
  <c r="B13" i="3"/>
  <c r="B12" i="3"/>
  <c r="B8" i="3"/>
  <c r="B6" i="3"/>
  <c r="B5" i="3"/>
  <c r="B4" i="3"/>
  <c r="B1" i="3"/>
  <c r="B28" i="2"/>
  <c r="B13" i="2"/>
  <c r="B10" i="2"/>
  <c r="B4" i="2"/>
  <c r="C3" i="9"/>
  <c r="B3" i="6" l="1"/>
  <c r="B4" i="6" s="1"/>
  <c r="B5" i="6" s="1"/>
  <c r="B4" i="7" s="1"/>
  <c r="F21" i="7"/>
  <c r="E21" i="7"/>
  <c r="D21" i="7"/>
  <c r="C21" i="7"/>
  <c r="B10" i="6"/>
  <c r="C9" i="6"/>
  <c r="B9" i="6"/>
  <c r="B8" i="4"/>
  <c r="B9" i="4" s="1"/>
  <c r="B11" i="4" s="1"/>
  <c r="C10" i="5"/>
  <c r="D3" i="5" s="1"/>
  <c r="B7" i="6" l="1"/>
  <c r="B8" i="6" s="1"/>
  <c r="B11" i="6" s="1"/>
  <c r="D8" i="5" s="1"/>
  <c r="C10" i="6"/>
  <c r="C3" i="6"/>
  <c r="D3" i="6"/>
  <c r="D10" i="6"/>
  <c r="D9" i="6"/>
  <c r="D10" i="5"/>
  <c r="E3" i="5" s="1"/>
  <c r="C6" i="6" l="1"/>
  <c r="D4" i="6"/>
  <c r="D5" i="6" s="1"/>
  <c r="D4" i="7" s="1"/>
  <c r="C4" i="6"/>
  <c r="C5" i="6" s="1"/>
  <c r="C4" i="7" s="1"/>
  <c r="E9" i="6"/>
  <c r="E3" i="6"/>
  <c r="B3" i="7" a="1"/>
  <c r="E10" i="6"/>
  <c r="E6" i="5"/>
  <c r="B3" i="7" l="1"/>
  <c r="E5" i="7"/>
  <c r="D5" i="7"/>
  <c r="D6" i="7" s="1"/>
  <c r="D14" i="7" s="1"/>
  <c r="E15" i="7"/>
  <c r="D15" i="7"/>
  <c r="C15" i="7"/>
  <c r="F15" i="7"/>
  <c r="F5" i="7"/>
  <c r="C5" i="7"/>
  <c r="C6" i="7" s="1"/>
  <c r="C14" i="7" s="1"/>
  <c r="C7" i="6"/>
  <c r="C8" i="6" s="1"/>
  <c r="C11" i="6" s="1"/>
  <c r="E8" i="5" s="1"/>
  <c r="E4" i="6"/>
  <c r="E5" i="6" s="1"/>
  <c r="E4" i="7" s="1"/>
  <c r="F9" i="6"/>
  <c r="B16" i="7" s="1" a="1"/>
  <c r="B16" i="7" s="1"/>
  <c r="F3" i="6"/>
  <c r="F10" i="6"/>
  <c r="B17" i="7" s="1" a="1"/>
  <c r="B17" i="7" s="1"/>
  <c r="E6" i="7" l="1"/>
  <c r="E14" i="7" s="1"/>
  <c r="E18" i="7" s="1"/>
  <c r="B5" i="7"/>
  <c r="B6" i="7" s="1"/>
  <c r="B14" i="7" s="1"/>
  <c r="B15" i="7"/>
  <c r="F4" i="6"/>
  <c r="F5" i="6" s="1"/>
  <c r="F4" i="7" s="1"/>
  <c r="B4" i="8" s="1"/>
  <c r="B6" i="8" s="1"/>
  <c r="C18" i="7"/>
  <c r="D18" i="7"/>
  <c r="B18" i="7"/>
  <c r="E10" i="5"/>
  <c r="F3" i="5" s="1"/>
  <c r="F6" i="7" l="1"/>
  <c r="F14" i="7" s="1"/>
  <c r="F18" i="7" s="1"/>
  <c r="F6" i="5"/>
  <c r="D6" i="6"/>
  <c r="D7" i="6" l="1"/>
  <c r="D8" i="6" s="1"/>
  <c r="D11" i="6" s="1"/>
  <c r="F8" i="5" s="1"/>
  <c r="F10" i="5" l="1"/>
  <c r="G3" i="5" s="1"/>
  <c r="G6" i="5" l="1"/>
  <c r="E6" i="6"/>
  <c r="E7" i="6" l="1"/>
  <c r="E8" i="6" s="1"/>
  <c r="E11" i="6" s="1"/>
  <c r="G8" i="5" s="1"/>
  <c r="G10" i="5" l="1"/>
  <c r="H3" i="5" s="1"/>
  <c r="H6" i="5" l="1"/>
  <c r="B7" i="7" s="1" a="1"/>
  <c r="F6" i="6"/>
  <c r="F7" i="6" l="1"/>
  <c r="F8" i="6" s="1"/>
  <c r="F11" i="6" s="1"/>
  <c r="H8" i="5" s="1"/>
  <c r="F8" i="7"/>
  <c r="B7" i="7"/>
  <c r="B8" i="7" s="1"/>
  <c r="E8" i="7"/>
  <c r="C8" i="7"/>
  <c r="D8" i="7"/>
  <c r="H10" i="5" l="1"/>
  <c r="D9" i="7"/>
  <c r="D10" i="7" s="1"/>
  <c r="C9" i="7"/>
  <c r="C10" i="7" s="1"/>
  <c r="E9" i="7"/>
  <c r="E10" i="7" s="1"/>
  <c r="B9" i="7"/>
  <c r="B10" i="7" s="1"/>
  <c r="B36" i="7" s="1"/>
  <c r="B37" i="7" s="1"/>
  <c r="F9" i="7"/>
  <c r="F10" i="7" s="1"/>
  <c r="C36" i="7" l="1"/>
  <c r="C37" i="7" s="1"/>
  <c r="D36" i="7"/>
  <c r="E22" i="7"/>
  <c r="C22" i="7"/>
  <c r="D22" i="7"/>
  <c r="F22" i="7"/>
  <c r="B22" i="7"/>
  <c r="B24" i="7" s="1"/>
  <c r="B29" i="7" s="1"/>
  <c r="B30" i="7" s="1"/>
  <c r="E36" i="7" l="1"/>
  <c r="D37" i="7"/>
  <c r="B31" i="7"/>
  <c r="C23" i="7"/>
  <c r="C24" i="7" s="1"/>
  <c r="C29" i="7" s="1"/>
  <c r="C30" i="7" s="1"/>
  <c r="C31" i="7" s="1"/>
  <c r="E37" i="7" l="1"/>
  <c r="F36" i="7"/>
  <c r="F37" i="7" s="1"/>
  <c r="D23" i="7"/>
  <c r="D24" i="7" s="1"/>
  <c r="D29" i="7" s="1"/>
  <c r="D30" i="7" s="1"/>
  <c r="D31" i="7" s="1"/>
  <c r="E23" i="7" l="1"/>
  <c r="E24" i="7" s="1"/>
  <c r="E29" i="7" s="1"/>
  <c r="E30" i="7" s="1"/>
  <c r="E31" i="7" s="1"/>
  <c r="F23" i="7" l="1"/>
  <c r="F24" i="7" s="1"/>
  <c r="F29" i="7" l="1"/>
  <c r="F30" i="7" s="1"/>
  <c r="F31" i="7" s="1"/>
  <c r="B9" i="8"/>
  <c r="B10" i="8" s="1"/>
  <c r="G15" i="8" l="1"/>
  <c r="B16" i="8" s="1"/>
  <c r="B1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<sst xmlns="http://schemas.openxmlformats.org/spreadsheetml/2006/main" count="159" uniqueCount="133">
  <si>
    <t xml:space="preserve">Model Name: Private Equity LBO &amp; Acquisition Model - Sample Deal Analysis </t>
  </si>
  <si>
    <t>Purpose: Evaluate acqiusition of TargetCo using leveraged buyout structure</t>
  </si>
  <si>
    <t>By: Kieran O'Connell</t>
  </si>
  <si>
    <t>Key Features:</t>
  </si>
  <si>
    <t xml:space="preserve">Units: </t>
  </si>
  <si>
    <t>$ In Millions</t>
  </si>
  <si>
    <t>Time Period:</t>
  </si>
  <si>
    <t>Annual (Year 0 - Year 5)</t>
  </si>
  <si>
    <t>Extra:</t>
  </si>
  <si>
    <t>Transaction structuring (Sources and Uses)</t>
  </si>
  <si>
    <t>Debt Modeling with sweep</t>
  </si>
  <si>
    <t>Pro forma financials</t>
  </si>
  <si>
    <t xml:space="preserve">IRR/ MOIC analysis </t>
  </si>
  <si>
    <t xml:space="preserve">Sensatiitiy analysis </t>
  </si>
  <si>
    <t>Model Assumptions:</t>
  </si>
  <si>
    <t>Entry multiple based valuation</t>
  </si>
  <si>
    <t>Exit via EBITDA multiple</t>
  </si>
  <si>
    <t>Debt sweep applied to excess cash</t>
  </si>
  <si>
    <t>No Dividends (or optional toggle)</t>
  </si>
  <si>
    <t>Sign Convention</t>
  </si>
  <si>
    <t>Outflows  = Negative</t>
  </si>
  <si>
    <t>Inflows = Positiv</t>
  </si>
  <si>
    <t>Transaction Assumptions</t>
  </si>
  <si>
    <t>Entry EBITDA:</t>
  </si>
  <si>
    <t>Entry Multiple:</t>
  </si>
  <si>
    <t>Enterprise Value:</t>
  </si>
  <si>
    <t>Exit Multiple:</t>
  </si>
  <si>
    <t>Holding Period (Yrs)</t>
  </si>
  <si>
    <t>Financing Assumptions</t>
  </si>
  <si>
    <t>Debt % of EV</t>
  </si>
  <si>
    <t>Equity %</t>
  </si>
  <si>
    <t>Interest Rate (Base)</t>
  </si>
  <si>
    <t>Spread (TLB)</t>
  </si>
  <si>
    <t>All-in Rate</t>
  </si>
  <si>
    <t>Amoritization %</t>
  </si>
  <si>
    <t>Cash Sweep</t>
  </si>
  <si>
    <t>Minimum Cash</t>
  </si>
  <si>
    <t>Operating Assumptions</t>
  </si>
  <si>
    <t>Revenue Growth</t>
  </si>
  <si>
    <t>EBITDA Margin</t>
  </si>
  <si>
    <t>CapEX % Revenue</t>
  </si>
  <si>
    <t>Tax Rate</t>
  </si>
  <si>
    <t>Change in NWC % Revenue</t>
  </si>
  <si>
    <t>Synergies</t>
  </si>
  <si>
    <t>Revenue Synergy Growth</t>
  </si>
  <si>
    <t>Cost Synergy (% Of EBITDA)</t>
  </si>
  <si>
    <t>Integration Costs (One Time)</t>
  </si>
  <si>
    <t>Net Debt:</t>
  </si>
  <si>
    <t>Debt Raised:</t>
  </si>
  <si>
    <t>Equity Purchase Price</t>
  </si>
  <si>
    <t>Cash Acquiried:</t>
  </si>
  <si>
    <t>Fees:</t>
  </si>
  <si>
    <t>Transaction Fees (% of EV):</t>
  </si>
  <si>
    <t>Uses:</t>
  </si>
  <si>
    <t>Transaction Fees</t>
  </si>
  <si>
    <t>Total Uses</t>
  </si>
  <si>
    <t>Debt Issued</t>
  </si>
  <si>
    <t>Equity Contribution</t>
  </si>
  <si>
    <t>Total Sources</t>
  </si>
  <si>
    <t>Sources:</t>
  </si>
  <si>
    <t>Sources - Uses</t>
  </si>
  <si>
    <t>Year</t>
  </si>
  <si>
    <t>Amoritization</t>
  </si>
  <si>
    <t>Ending Debt</t>
  </si>
  <si>
    <t>Debt Schedule:</t>
  </si>
  <si>
    <t>Interest Rate</t>
  </si>
  <si>
    <t>Interest Expense</t>
  </si>
  <si>
    <t>Cash Available</t>
  </si>
  <si>
    <t>Optional Sweep</t>
  </si>
  <si>
    <t>Beg Debt</t>
  </si>
  <si>
    <t>Year 1:</t>
  </si>
  <si>
    <t>Revenue</t>
  </si>
  <si>
    <t>EBITDA</t>
  </si>
  <si>
    <t>FCF</t>
  </si>
  <si>
    <t>Year 2:</t>
  </si>
  <si>
    <t>Year 3</t>
  </si>
  <si>
    <t>Year 4:</t>
  </si>
  <si>
    <t>Year 5:</t>
  </si>
  <si>
    <t>EBITDA w/ Synergy</t>
  </si>
  <si>
    <t xml:space="preserve">Taxes </t>
  </si>
  <si>
    <t>CapEX</t>
  </si>
  <si>
    <t>Change in NWC</t>
  </si>
  <si>
    <t>OPS:</t>
  </si>
  <si>
    <t>Equity Contribution:</t>
  </si>
  <si>
    <t>Debt Issued:</t>
  </si>
  <si>
    <t>Synergy:</t>
  </si>
  <si>
    <t>Interest</t>
  </si>
  <si>
    <t>EBT</t>
  </si>
  <si>
    <t>Revenue:</t>
  </si>
  <si>
    <t>Taxes</t>
  </si>
  <si>
    <t>Net Income</t>
  </si>
  <si>
    <t>D&amp;A</t>
  </si>
  <si>
    <t>CapEx</t>
  </si>
  <si>
    <t>Change In NWC</t>
  </si>
  <si>
    <t>Debt Impact</t>
  </si>
  <si>
    <t>Cash Change</t>
  </si>
  <si>
    <t>Ending Cash</t>
  </si>
  <si>
    <t>Amortization</t>
  </si>
  <si>
    <t>Total Debt Impact</t>
  </si>
  <si>
    <t>Beg Cash</t>
  </si>
  <si>
    <t>Simplifid Balance Sheet</t>
  </si>
  <si>
    <t>Equity</t>
  </si>
  <si>
    <t>Initial Equity</t>
  </si>
  <si>
    <t>RE</t>
  </si>
  <si>
    <t>EBIT</t>
  </si>
  <si>
    <t>EBI</t>
  </si>
  <si>
    <t>Assets:</t>
  </si>
  <si>
    <t xml:space="preserve">Cash </t>
  </si>
  <si>
    <t>Operating Assets:</t>
  </si>
  <si>
    <t>Liabilities:</t>
  </si>
  <si>
    <t>Debt</t>
  </si>
  <si>
    <t>Liabilites + SE</t>
  </si>
  <si>
    <t>Total Assets</t>
  </si>
  <si>
    <t>Simplified Cash Flow Statement</t>
  </si>
  <si>
    <t>Simplified Income Statement</t>
  </si>
  <si>
    <t>Returns Analysis</t>
  </si>
  <si>
    <t xml:space="preserve">Exit EBITDA:           </t>
  </si>
  <si>
    <t>Exit Enterprise Value:</t>
  </si>
  <si>
    <t>Less: Ending Debt:</t>
  </si>
  <si>
    <t>Add: Cash:</t>
  </si>
  <si>
    <t>Equity Value at Exit:</t>
  </si>
  <si>
    <t>Initial Equity Invested:</t>
  </si>
  <si>
    <t>MOIC:</t>
  </si>
  <si>
    <t>IRR:</t>
  </si>
  <si>
    <t xml:space="preserve">Exit Year:              </t>
  </si>
  <si>
    <t xml:space="preserve">Exit Multiple:       </t>
  </si>
  <si>
    <t>Year 0</t>
  </si>
  <si>
    <t>Year 1</t>
  </si>
  <si>
    <t>Year 2</t>
  </si>
  <si>
    <t>Year 4</t>
  </si>
  <si>
    <t>Year 5</t>
  </si>
  <si>
    <t xml:space="preserve">Cash Flow </t>
  </si>
  <si>
    <t>Revenue Growth (Driver)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</si>
</sst>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%"/>
  </numFmts>
  <fonts count="1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i/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i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 indent="1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9" fontId="3" fillId="3" borderId="0" xfId="0" applyNumberFormat="1" applyFont="1" applyFill="1"/>
    <xf numFmtId="0" fontId="4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9" fontId="0" fillId="0" borderId="0" xfId="0" applyNumberFormat="1"/>
    <xf numFmtId="0" fontId="7" fillId="2" borderId="0" xfId="0" applyFont="1" applyFill="1" applyAlignment="1">
      <alignment horizontal="center"/>
    </xf>
    <xf numFmtId="9" fontId="0" fillId="3" borderId="0" xfId="0" applyNumberFormat="1" applyFill="1"/>
    <xf numFmtId="2" fontId="0" fillId="0" borderId="0" xfId="0" applyNumberFormat="1"/>
    <xf numFmtId="0" fontId="4" fillId="2" borderId="0" xfId="0" applyFont="1" applyFill="1"/>
    <xf numFmtId="0" fontId="7" fillId="2" borderId="0" xfId="0" applyFont="1" applyFill="1"/>
    <xf numFmtId="1" fontId="0" fillId="3" borderId="0" xfId="0" applyNumberFormat="1" applyFill="1"/>
    <xf numFmtId="9" fontId="0" fillId="3" borderId="0" xfId="1" applyFont="1" applyFill="1"/>
    <xf numFmtId="0" fontId="7" fillId="2" borderId="0" xfId="0" applyFont="1" applyFill="1" applyAlignment="1">
      <alignment horizontal="right"/>
    </xf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/>
    </xf>
    <xf numFmtId="0" fontId="0" fillId="3" borderId="1" xfId="0" applyFill="1" applyBorder="1"/>
    <xf numFmtId="1" fontId="0" fillId="3" borderId="1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0" fontId="0" fillId="3" borderId="1" xfId="0" applyFill="1" applyBorder="1" applyAlignment="1">
      <alignment horizontal="left" indent="2"/>
    </xf>
    <xf numFmtId="0" fontId="9" fillId="2" borderId="0" xfId="0" applyFont="1" applyFill="1" applyAlignment="1">
      <alignment horizontal="center"/>
    </xf>
    <xf numFmtId="0" fontId="0" fillId="2" borderId="0" xfId="0" applyFill="1"/>
    <xf numFmtId="0" fontId="10" fillId="3" borderId="0" xfId="0" applyFont="1" applyFill="1"/>
    <xf numFmtId="1" fontId="0" fillId="3" borderId="0" xfId="0" applyNumberFormat="1" applyFill="1" applyBorder="1"/>
    <xf numFmtId="0" fontId="0" fillId="3" borderId="1" xfId="0" applyFill="1" applyBorder="1" applyAlignment="1">
      <alignment horizontal="left"/>
    </xf>
    <xf numFmtId="1" fontId="11" fillId="4" borderId="0" xfId="0" applyNumberFormat="1" applyFont="1" applyFill="1"/>
    <xf numFmtId="2" fontId="0" fillId="3" borderId="0" xfId="0" applyNumberFormat="1" applyFill="1"/>
    <xf numFmtId="0" fontId="6" fillId="0" borderId="0" xfId="0" applyFont="1"/>
    <xf numFmtId="174" fontId="0" fillId="0" borderId="0" xfId="1" applyNumberFormat="1" applyFont="1"/>
    <xf numFmtId="2" fontId="3" fillId="3" borderId="0" xfId="0" applyNumberFormat="1" applyFont="1" applyFill="1"/>
    <xf numFmtId="174" fontId="7" fillId="0" borderId="0" xfId="1" applyNumberFormat="1" applyFont="1"/>
    <xf numFmtId="2" fontId="6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CBA7-2761-9842-993B-C65F54A4BC7E}">
  <dimension ref="A1:G14"/>
  <sheetViews>
    <sheetView showGridLines="0" workbookViewId="0">
      <selection activeCell="M11" sqref="M11"/>
    </sheetView>
  </sheetViews>
  <sheetFormatPr baseColWidth="10" defaultRowHeight="16" x14ac:dyDescent="0.2"/>
  <cols>
    <col min="1" max="1" width="11" customWidth="1"/>
    <col min="2" max="2" width="25" customWidth="1"/>
    <col min="4" max="4" width="14" customWidth="1"/>
    <col min="5" max="5" width="16.6640625" customWidth="1"/>
    <col min="6" max="6" width="4.5" customWidth="1"/>
    <col min="7" max="7" width="6" customWidth="1"/>
  </cols>
  <sheetData>
    <row r="1" spans="1:7" ht="19" x14ac:dyDescent="0.25">
      <c r="A1" s="7" t="s">
        <v>0</v>
      </c>
      <c r="B1" s="7"/>
      <c r="C1" s="7"/>
      <c r="D1" s="7"/>
      <c r="E1" s="7"/>
      <c r="F1" s="7"/>
      <c r="G1" s="7"/>
    </row>
    <row r="2" spans="1:7" ht="19" x14ac:dyDescent="0.25">
      <c r="A2" s="7" t="s">
        <v>1</v>
      </c>
      <c r="B2" s="7"/>
      <c r="C2" s="7"/>
      <c r="D2" s="7"/>
      <c r="E2" s="7"/>
      <c r="F2" s="7"/>
      <c r="G2" s="7"/>
    </row>
    <row r="3" spans="1:7" x14ac:dyDescent="0.2">
      <c r="C3" s="8">
        <f ca="1">TODAY()</f>
        <v>46099</v>
      </c>
      <c r="D3" s="8"/>
    </row>
    <row r="4" spans="1:7" x14ac:dyDescent="0.2">
      <c r="C4" s="9" t="s">
        <v>2</v>
      </c>
      <c r="D4" s="9"/>
    </row>
    <row r="5" spans="1:7" x14ac:dyDescent="0.2">
      <c r="A5" s="6" t="s">
        <v>3</v>
      </c>
      <c r="B5" s="6"/>
      <c r="D5" s="6" t="s">
        <v>19</v>
      </c>
      <c r="E5" s="6"/>
    </row>
    <row r="6" spans="1:7" x14ac:dyDescent="0.2">
      <c r="A6" s="2" t="s">
        <v>4</v>
      </c>
      <c r="B6" s="2" t="s">
        <v>5</v>
      </c>
      <c r="D6" s="2" t="s">
        <v>20</v>
      </c>
      <c r="E6" s="2"/>
    </row>
    <row r="7" spans="1:7" x14ac:dyDescent="0.2">
      <c r="A7" s="2" t="s">
        <v>6</v>
      </c>
      <c r="B7" s="2" t="s">
        <v>7</v>
      </c>
      <c r="D7" s="2" t="s">
        <v>21</v>
      </c>
      <c r="E7" s="2"/>
    </row>
    <row r="9" spans="1:7" x14ac:dyDescent="0.2">
      <c r="A9" s="6" t="s">
        <v>8</v>
      </c>
      <c r="B9" s="6"/>
      <c r="D9" s="6" t="s">
        <v>14</v>
      </c>
      <c r="E9" s="6"/>
    </row>
    <row r="10" spans="1:7" x14ac:dyDescent="0.2">
      <c r="A10" s="3" t="s">
        <v>9</v>
      </c>
      <c r="B10" s="3"/>
      <c r="D10" s="3" t="s">
        <v>15</v>
      </c>
      <c r="E10" s="2"/>
    </row>
    <row r="11" spans="1:7" x14ac:dyDescent="0.2">
      <c r="A11" s="3" t="s">
        <v>10</v>
      </c>
      <c r="B11" s="3"/>
      <c r="D11" s="3" t="s">
        <v>16</v>
      </c>
      <c r="E11" s="2"/>
    </row>
    <row r="12" spans="1:7" x14ac:dyDescent="0.2">
      <c r="A12" s="3" t="s">
        <v>11</v>
      </c>
      <c r="B12" s="3"/>
      <c r="D12" s="3" t="s">
        <v>17</v>
      </c>
      <c r="E12" s="2"/>
    </row>
    <row r="13" spans="1:7" x14ac:dyDescent="0.2">
      <c r="A13" s="3" t="s">
        <v>12</v>
      </c>
      <c r="B13" s="3"/>
      <c r="D13" s="3" t="s">
        <v>18</v>
      </c>
      <c r="E13" s="2"/>
    </row>
    <row r="14" spans="1:7" x14ac:dyDescent="0.2">
      <c r="A14" s="3" t="s">
        <v>13</v>
      </c>
      <c r="B14" s="3"/>
    </row>
  </sheetData>
  <mergeCells count="8">
    <mergeCell ref="A9:B9"/>
    <mergeCell ref="D9:E9"/>
    <mergeCell ref="D5:E5"/>
    <mergeCell ref="A1:G1"/>
    <mergeCell ref="A2:G2"/>
    <mergeCell ref="C3:D3"/>
    <mergeCell ref="C4:D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522D-0C5D-9044-9396-68E3245B7A62}">
  <dimension ref="A1:B13"/>
  <sheetViews>
    <sheetView workbookViewId="0">
      <selection sqref="A1:B13"/>
    </sheetView>
  </sheetViews>
  <sheetFormatPr baseColWidth="10" defaultRowHeight="16" x14ac:dyDescent="0.2"/>
  <cols>
    <col min="1" max="1" width="18.6640625" bestFit="1" customWidth="1"/>
  </cols>
  <sheetData>
    <row r="1" spans="1:2" x14ac:dyDescent="0.2">
      <c r="A1" s="2" t="s">
        <v>25</v>
      </c>
      <c r="B1" s="2">
        <f>Entry_Multiple * Entry_EBITDA</f>
        <v>1000</v>
      </c>
    </row>
    <row r="3" spans="1:2" x14ac:dyDescent="0.2">
      <c r="A3" s="14" t="s">
        <v>47</v>
      </c>
      <c r="B3" s="14"/>
    </row>
    <row r="4" spans="1:2" x14ac:dyDescent="0.2">
      <c r="A4" s="2" t="s">
        <v>48</v>
      </c>
      <c r="B4" s="2">
        <f>Enterprise_Value * Debt_EV</f>
        <v>600</v>
      </c>
    </row>
    <row r="5" spans="1:2" x14ac:dyDescent="0.2">
      <c r="A5" s="2" t="s">
        <v>50</v>
      </c>
      <c r="B5" s="2">
        <f>0</f>
        <v>0</v>
      </c>
    </row>
    <row r="6" spans="1:2" x14ac:dyDescent="0.2">
      <c r="A6" s="2" t="s">
        <v>47</v>
      </c>
      <c r="B6" s="2">
        <f>B4-B5</f>
        <v>600</v>
      </c>
    </row>
    <row r="7" spans="1:2" x14ac:dyDescent="0.2">
      <c r="A7" s="2"/>
      <c r="B7" s="2"/>
    </row>
    <row r="8" spans="1:2" x14ac:dyDescent="0.2">
      <c r="A8" s="2" t="s">
        <v>49</v>
      </c>
      <c r="B8" s="2">
        <f>Enterprise_Value-B6</f>
        <v>400</v>
      </c>
    </row>
    <row r="10" spans="1:2" x14ac:dyDescent="0.2">
      <c r="A10" s="14" t="s">
        <v>51</v>
      </c>
      <c r="B10" s="14"/>
    </row>
    <row r="11" spans="1:2" x14ac:dyDescent="0.2">
      <c r="A11" s="2" t="s">
        <v>52</v>
      </c>
      <c r="B11" s="17">
        <v>0.02</v>
      </c>
    </row>
    <row r="12" spans="1:2" x14ac:dyDescent="0.2">
      <c r="A12" s="2" t="s">
        <v>51</v>
      </c>
      <c r="B12" s="2">
        <f>Enterprise_Value * B11</f>
        <v>20</v>
      </c>
    </row>
    <row r="13" spans="1:2" x14ac:dyDescent="0.2">
      <c r="A13" s="2" t="s">
        <v>83</v>
      </c>
      <c r="B13" s="2">
        <f>B8+B12</f>
        <v>420</v>
      </c>
    </row>
  </sheetData>
  <mergeCells count="2">
    <mergeCell ref="A3:B3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BB1A-9092-7B4E-9752-E287CA187DE2}">
  <dimension ref="A1:Q28"/>
  <sheetViews>
    <sheetView topLeftCell="A4" workbookViewId="0">
      <selection activeCell="B19" sqref="B19"/>
    </sheetView>
  </sheetViews>
  <sheetFormatPr baseColWidth="10" defaultRowHeight="19" x14ac:dyDescent="0.25"/>
  <cols>
    <col min="1" max="1" width="27.6640625" style="4" customWidth="1"/>
    <col min="2" max="2" width="20.83203125" style="4" customWidth="1"/>
    <col min="3" max="17" width="10.83203125" style="4"/>
  </cols>
  <sheetData>
    <row r="1" spans="1:2" x14ac:dyDescent="0.25">
      <c r="A1" s="5" t="s">
        <v>22</v>
      </c>
      <c r="B1" s="5"/>
    </row>
    <row r="2" spans="1:2" x14ac:dyDescent="0.25">
      <c r="A2" s="10" t="s">
        <v>23</v>
      </c>
      <c r="B2" s="10">
        <v>100</v>
      </c>
    </row>
    <row r="3" spans="1:2" x14ac:dyDescent="0.25">
      <c r="A3" s="10" t="s">
        <v>24</v>
      </c>
      <c r="B3" s="11">
        <v>10</v>
      </c>
    </row>
    <row r="4" spans="1:2" x14ac:dyDescent="0.25">
      <c r="A4" s="10" t="s">
        <v>25</v>
      </c>
      <c r="B4" s="10">
        <f>B2*B3</f>
        <v>1000</v>
      </c>
    </row>
    <row r="5" spans="1:2" x14ac:dyDescent="0.25">
      <c r="A5" s="10" t="s">
        <v>26</v>
      </c>
      <c r="B5" s="10">
        <v>11</v>
      </c>
    </row>
    <row r="6" spans="1:2" x14ac:dyDescent="0.25">
      <c r="A6" s="10" t="s">
        <v>27</v>
      </c>
      <c r="B6" s="10">
        <v>5</v>
      </c>
    </row>
    <row r="8" spans="1:2" x14ac:dyDescent="0.25">
      <c r="A8" s="5" t="s">
        <v>28</v>
      </c>
      <c r="B8" s="5"/>
    </row>
    <row r="9" spans="1:2" x14ac:dyDescent="0.25">
      <c r="A9" s="10" t="s">
        <v>29</v>
      </c>
      <c r="B9" s="12">
        <v>0.6</v>
      </c>
    </row>
    <row r="10" spans="1:2" x14ac:dyDescent="0.25">
      <c r="A10" s="10" t="s">
        <v>30</v>
      </c>
      <c r="B10" s="12">
        <f>1-B9</f>
        <v>0.4</v>
      </c>
    </row>
    <row r="11" spans="1:2" x14ac:dyDescent="0.25">
      <c r="A11" s="10" t="s">
        <v>31</v>
      </c>
      <c r="B11" s="12">
        <v>0.05</v>
      </c>
    </row>
    <row r="12" spans="1:2" x14ac:dyDescent="0.25">
      <c r="A12" s="10" t="s">
        <v>32</v>
      </c>
      <c r="B12" s="12">
        <v>0.03</v>
      </c>
    </row>
    <row r="13" spans="1:2" x14ac:dyDescent="0.25">
      <c r="A13" s="10" t="s">
        <v>33</v>
      </c>
      <c r="B13" s="12">
        <f>B11+B12</f>
        <v>0.08</v>
      </c>
    </row>
    <row r="14" spans="1:2" x14ac:dyDescent="0.25">
      <c r="A14" s="10" t="s">
        <v>34</v>
      </c>
      <c r="B14" s="12">
        <v>0.05</v>
      </c>
    </row>
    <row r="15" spans="1:2" x14ac:dyDescent="0.25">
      <c r="A15" s="10" t="s">
        <v>35</v>
      </c>
      <c r="B15" s="12">
        <v>0.5</v>
      </c>
    </row>
    <row r="16" spans="1:2" x14ac:dyDescent="0.25">
      <c r="A16" s="10" t="s">
        <v>36</v>
      </c>
      <c r="B16" s="10">
        <v>10</v>
      </c>
    </row>
    <row r="18" spans="1:2" x14ac:dyDescent="0.25">
      <c r="A18" s="5" t="s">
        <v>37</v>
      </c>
      <c r="B18" s="5"/>
    </row>
    <row r="19" spans="1:2" x14ac:dyDescent="0.25">
      <c r="A19" s="10" t="s">
        <v>38</v>
      </c>
      <c r="B19" s="40">
        <v>0.05</v>
      </c>
    </row>
    <row r="20" spans="1:2" x14ac:dyDescent="0.25">
      <c r="A20" s="10" t="s">
        <v>39</v>
      </c>
      <c r="B20" s="12">
        <v>0.25</v>
      </c>
    </row>
    <row r="21" spans="1:2" x14ac:dyDescent="0.25">
      <c r="A21" s="10" t="s">
        <v>40</v>
      </c>
      <c r="B21" s="12">
        <v>0.03</v>
      </c>
    </row>
    <row r="22" spans="1:2" x14ac:dyDescent="0.25">
      <c r="A22" s="10" t="s">
        <v>42</v>
      </c>
      <c r="B22" s="12">
        <v>0.02</v>
      </c>
    </row>
    <row r="23" spans="1:2" x14ac:dyDescent="0.25">
      <c r="A23" s="10" t="s">
        <v>41</v>
      </c>
      <c r="B23" s="12">
        <v>0.25</v>
      </c>
    </row>
    <row r="25" spans="1:2" x14ac:dyDescent="0.25">
      <c r="A25" s="5" t="s">
        <v>43</v>
      </c>
      <c r="B25" s="5"/>
    </row>
    <row r="26" spans="1:2" x14ac:dyDescent="0.25">
      <c r="A26" s="10" t="s">
        <v>44</v>
      </c>
      <c r="B26" s="12">
        <v>0.02</v>
      </c>
    </row>
    <row r="27" spans="1:2" x14ac:dyDescent="0.25">
      <c r="A27" s="10" t="s">
        <v>45</v>
      </c>
      <c r="B27" s="12">
        <v>0.05</v>
      </c>
    </row>
    <row r="28" spans="1:2" x14ac:dyDescent="0.25">
      <c r="A28" s="10" t="s">
        <v>46</v>
      </c>
      <c r="B28" s="10">
        <f>10</f>
        <v>10</v>
      </c>
    </row>
  </sheetData>
  <mergeCells count="4">
    <mergeCell ref="A1:B1"/>
    <mergeCell ref="A8:B8"/>
    <mergeCell ref="A18:B18"/>
    <mergeCell ref="A25:B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487B-848D-934E-BE70-DDEC0C0B85FE}">
  <dimension ref="A1:B11"/>
  <sheetViews>
    <sheetView workbookViewId="0">
      <selection sqref="A1:B11"/>
    </sheetView>
  </sheetViews>
  <sheetFormatPr baseColWidth="10" defaultRowHeight="16" x14ac:dyDescent="0.2"/>
  <cols>
    <col min="1" max="1" width="18.6640625" bestFit="1" customWidth="1"/>
    <col min="6" max="6" width="11" customWidth="1"/>
  </cols>
  <sheetData>
    <row r="1" spans="1:2" x14ac:dyDescent="0.2">
      <c r="A1" s="31" t="s">
        <v>53</v>
      </c>
      <c r="B1" s="31"/>
    </row>
    <row r="2" spans="1:2" x14ac:dyDescent="0.2">
      <c r="A2" s="2" t="s">
        <v>49</v>
      </c>
      <c r="B2" s="2">
        <v>1000</v>
      </c>
    </row>
    <row r="3" spans="1:2" x14ac:dyDescent="0.2">
      <c r="A3" s="2" t="s">
        <v>54</v>
      </c>
      <c r="B3" s="2">
        <f>TRANSACTION!B12</f>
        <v>20</v>
      </c>
    </row>
    <row r="4" spans="1:2" x14ac:dyDescent="0.2">
      <c r="A4" s="2" t="s">
        <v>55</v>
      </c>
      <c r="B4" s="2">
        <f>SUM(B2:B3)</f>
        <v>1020</v>
      </c>
    </row>
    <row r="6" spans="1:2" x14ac:dyDescent="0.2">
      <c r="A6" s="31" t="s">
        <v>59</v>
      </c>
      <c r="B6" s="31"/>
    </row>
    <row r="7" spans="1:2" x14ac:dyDescent="0.2">
      <c r="A7" s="2" t="s">
        <v>56</v>
      </c>
      <c r="B7" s="2">
        <f>Debt_EV*Enterprise_Value</f>
        <v>600</v>
      </c>
    </row>
    <row r="8" spans="1:2" x14ac:dyDescent="0.2">
      <c r="A8" s="2" t="s">
        <v>57</v>
      </c>
      <c r="B8" s="2">
        <f>B4-B7</f>
        <v>420</v>
      </c>
    </row>
    <row r="9" spans="1:2" x14ac:dyDescent="0.2">
      <c r="A9" s="2" t="s">
        <v>58</v>
      </c>
      <c r="B9" s="2">
        <f>SUM(B7,B8)</f>
        <v>1020</v>
      </c>
    </row>
    <row r="11" spans="1:2" x14ac:dyDescent="0.2">
      <c r="A11" s="2" t="s">
        <v>60</v>
      </c>
      <c r="B11" s="2">
        <f>B4-B9</f>
        <v>0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2C88-7D0F-F04F-AAB9-BF3DC9E99A4D}">
  <dimension ref="B1:H10"/>
  <sheetViews>
    <sheetView topLeftCell="B1" workbookViewId="0">
      <selection activeCell="B1" sqref="B1:H10"/>
    </sheetView>
  </sheetViews>
  <sheetFormatPr baseColWidth="10" defaultRowHeight="16" x14ac:dyDescent="0.2"/>
  <cols>
    <col min="1" max="1" width="0" hidden="1" customWidth="1"/>
    <col min="2" max="2" width="15.83203125" customWidth="1"/>
  </cols>
  <sheetData>
    <row r="1" spans="2:8" x14ac:dyDescent="0.2">
      <c r="E1" s="16" t="s">
        <v>61</v>
      </c>
      <c r="F1" s="16"/>
    </row>
    <row r="2" spans="2:8" x14ac:dyDescent="0.2">
      <c r="B2" s="19" t="s">
        <v>64</v>
      </c>
      <c r="C2" s="20">
        <v>0</v>
      </c>
      <c r="D2" s="20">
        <v>1</v>
      </c>
      <c r="E2" s="20">
        <v>2</v>
      </c>
      <c r="F2" s="20">
        <v>3</v>
      </c>
      <c r="G2" s="20">
        <v>4</v>
      </c>
      <c r="H2" s="20">
        <v>5</v>
      </c>
    </row>
    <row r="3" spans="2:8" x14ac:dyDescent="0.2">
      <c r="B3" s="2" t="s">
        <v>69</v>
      </c>
      <c r="C3" s="33">
        <v>0</v>
      </c>
      <c r="D3" s="21">
        <f>C10</f>
        <v>600</v>
      </c>
      <c r="E3" s="21">
        <f>D10</f>
        <v>570</v>
      </c>
      <c r="F3" s="21">
        <f>E10</f>
        <v>540</v>
      </c>
      <c r="G3" s="21">
        <f>F10</f>
        <v>510</v>
      </c>
      <c r="H3" s="21">
        <f>G10</f>
        <v>480</v>
      </c>
    </row>
    <row r="4" spans="2:8" x14ac:dyDescent="0.2">
      <c r="B4" s="2" t="s">
        <v>84</v>
      </c>
      <c r="C4" s="21">
        <f>600</f>
        <v>600</v>
      </c>
      <c r="D4" s="2"/>
      <c r="E4" s="2"/>
      <c r="F4" s="2"/>
      <c r="G4" s="2"/>
      <c r="H4" s="2"/>
    </row>
    <row r="5" spans="2:8" x14ac:dyDescent="0.2">
      <c r="B5" s="2" t="s">
        <v>65</v>
      </c>
      <c r="C5" s="22">
        <f>8%</f>
        <v>0.08</v>
      </c>
      <c r="D5" s="22">
        <f>8%</f>
        <v>0.08</v>
      </c>
      <c r="E5" s="22">
        <f>8%</f>
        <v>0.08</v>
      </c>
      <c r="F5" s="22">
        <f>8%</f>
        <v>0.08</v>
      </c>
      <c r="G5" s="22">
        <f>8%</f>
        <v>0.08</v>
      </c>
      <c r="H5" s="22">
        <f>8%</f>
        <v>0.08</v>
      </c>
    </row>
    <row r="6" spans="2:8" x14ac:dyDescent="0.2">
      <c r="B6" s="2" t="s">
        <v>66</v>
      </c>
      <c r="C6" s="21"/>
      <c r="D6" s="21">
        <f>D3*D5</f>
        <v>48</v>
      </c>
      <c r="E6" s="21">
        <f>E3*E5</f>
        <v>45.6</v>
      </c>
      <c r="F6" s="21">
        <f>F3*F5</f>
        <v>43.2</v>
      </c>
      <c r="G6" s="21">
        <f>G3*G5</f>
        <v>40.800000000000004</v>
      </c>
      <c r="H6" s="21">
        <f>H3*H5</f>
        <v>38.4</v>
      </c>
    </row>
    <row r="7" spans="2:8" x14ac:dyDescent="0.2">
      <c r="B7" s="2" t="s">
        <v>62</v>
      </c>
      <c r="C7" s="21"/>
      <c r="D7" s="21">
        <f>$C$4*Amoritization</f>
        <v>30</v>
      </c>
      <c r="E7" s="21">
        <f>$C$4*Amoritization</f>
        <v>30</v>
      </c>
      <c r="F7" s="21">
        <f>$C$4*Amoritization</f>
        <v>30</v>
      </c>
      <c r="G7" s="21">
        <f>$C$4*Amoritization</f>
        <v>30</v>
      </c>
      <c r="H7" s="21">
        <f>$C$4*Amoritization</f>
        <v>30</v>
      </c>
    </row>
    <row r="8" spans="2:8" x14ac:dyDescent="0.2">
      <c r="B8" s="2" t="s">
        <v>67</v>
      </c>
      <c r="C8" s="21"/>
      <c r="D8" s="21">
        <f>OPS!B11+FIN_STMNTS!B23-Min_Cash</f>
        <v>25.6875</v>
      </c>
      <c r="E8" s="21">
        <f>OPS!C11-Min_Cash</f>
        <v>20.571874999999999</v>
      </c>
      <c r="F8" s="21">
        <f>OPS!D11-Min_Cash</f>
        <v>25.610468749999995</v>
      </c>
      <c r="G8" s="21">
        <f>OPS!E11-Min_Cash</f>
        <v>30.810992187500005</v>
      </c>
      <c r="H8" s="21">
        <f>OPS!F11-Min_Cash</f>
        <v>36.181541796875024</v>
      </c>
    </row>
    <row r="9" spans="2:8" x14ac:dyDescent="0.2">
      <c r="B9" s="2" t="s">
        <v>68</v>
      </c>
      <c r="C9" s="21"/>
      <c r="D9" s="21">
        <v>0</v>
      </c>
      <c r="E9" s="21">
        <v>0</v>
      </c>
      <c r="F9" s="21">
        <v>0</v>
      </c>
      <c r="G9" s="21">
        <v>0</v>
      </c>
      <c r="H9" s="21">
        <v>0</v>
      </c>
    </row>
    <row r="10" spans="2:8" x14ac:dyDescent="0.2">
      <c r="B10" s="2" t="s">
        <v>63</v>
      </c>
      <c r="C10" s="21">
        <f>C4-C7-C9</f>
        <v>600</v>
      </c>
      <c r="D10" s="21">
        <f>D3-D7-D9</f>
        <v>570</v>
      </c>
      <c r="E10" s="21">
        <f>E3-E7-E9</f>
        <v>540</v>
      </c>
      <c r="F10" s="21">
        <f>F3-F7-F9</f>
        <v>510</v>
      </c>
      <c r="G10" s="21">
        <f>G3-G7-G9</f>
        <v>480</v>
      </c>
      <c r="H10" s="21">
        <f>H3-H7-H9</f>
        <v>450</v>
      </c>
    </row>
  </sheetData>
  <mergeCells count="1">
    <mergeCell ref="E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7519-62A7-164F-8EB5-A1A59D39310D}">
  <dimension ref="A1:F11"/>
  <sheetViews>
    <sheetView workbookViewId="0">
      <selection activeCell="C2" sqref="C2:F2"/>
    </sheetView>
  </sheetViews>
  <sheetFormatPr baseColWidth="10" defaultRowHeight="16" x14ac:dyDescent="0.2"/>
  <cols>
    <col min="1" max="1" width="16.83203125" customWidth="1"/>
  </cols>
  <sheetData>
    <row r="1" spans="1:6" x14ac:dyDescent="0.2">
      <c r="A1" s="1" t="s">
        <v>82</v>
      </c>
      <c r="B1" s="23" t="s">
        <v>70</v>
      </c>
      <c r="C1" s="23" t="s">
        <v>74</v>
      </c>
      <c r="D1" s="23" t="s">
        <v>75</v>
      </c>
      <c r="E1" s="23" t="s">
        <v>76</v>
      </c>
      <c r="F1" s="23" t="s">
        <v>77</v>
      </c>
    </row>
    <row r="2" spans="1:6" x14ac:dyDescent="0.2">
      <c r="A2" s="26" t="s">
        <v>71</v>
      </c>
      <c r="B2" s="27">
        <f>Entry_EBITDA/INPUTS!$B$20 * (1+RETURNS!$B$2)</f>
        <v>420</v>
      </c>
      <c r="C2" s="27">
        <f>B2*(1+RETURNS!$B$2)</f>
        <v>441</v>
      </c>
      <c r="D2" s="27">
        <f>C2*(1+RETURNS!$B$2)</f>
        <v>463.05</v>
      </c>
      <c r="E2" s="27">
        <f>D2*(1+RETURNS!$B$2)</f>
        <v>486.20250000000004</v>
      </c>
      <c r="F2" s="27">
        <f>E2*(1+RETURNS!$B$2)</f>
        <v>510.51262500000007</v>
      </c>
    </row>
    <row r="3" spans="1:6" x14ac:dyDescent="0.2">
      <c r="A3" s="28" t="s">
        <v>72</v>
      </c>
      <c r="B3" s="29">
        <f>B2*INPUTS!$B$20</f>
        <v>105</v>
      </c>
      <c r="C3" s="29">
        <f>C2*INPUTS!$B$20</f>
        <v>110.25</v>
      </c>
      <c r="D3" s="29">
        <f>D2*INPUTS!$B$20</f>
        <v>115.7625</v>
      </c>
      <c r="E3" s="29">
        <f>E2*INPUTS!$B$20</f>
        <v>121.55062500000001</v>
      </c>
      <c r="F3" s="29">
        <f>F2*INPUTS!$B$20</f>
        <v>127.62815625000002</v>
      </c>
    </row>
    <row r="4" spans="1:6" x14ac:dyDescent="0.2">
      <c r="A4" s="28" t="s">
        <v>85</v>
      </c>
      <c r="B4" s="29">
        <f>B3*INPUTS!$B$27</f>
        <v>5.25</v>
      </c>
      <c r="C4" s="29">
        <f>C3*INPUTS!$B$27</f>
        <v>5.5125000000000002</v>
      </c>
      <c r="D4" s="29">
        <f>D3*INPUTS!$B$27</f>
        <v>5.7881250000000009</v>
      </c>
      <c r="E4" s="29">
        <f>E3*INPUTS!$B$27</f>
        <v>6.0775312500000007</v>
      </c>
      <c r="F4" s="29">
        <f>F3*INPUTS!$B$27</f>
        <v>6.3814078125000009</v>
      </c>
    </row>
    <row r="5" spans="1:6" x14ac:dyDescent="0.2">
      <c r="A5" s="28" t="s">
        <v>78</v>
      </c>
      <c r="B5" s="29">
        <f>SUM(B3:B4)</f>
        <v>110.25</v>
      </c>
      <c r="C5" s="29">
        <f>SUM(C3:C4)</f>
        <v>115.7625</v>
      </c>
      <c r="D5" s="29">
        <f>SUM(D3:D4)</f>
        <v>121.550625</v>
      </c>
      <c r="E5" s="29">
        <f>SUM(E3:E4)</f>
        <v>127.62815625000002</v>
      </c>
      <c r="F5" s="29">
        <f>SUM(F3:F4)</f>
        <v>134.00956406250003</v>
      </c>
    </row>
    <row r="6" spans="1:6" x14ac:dyDescent="0.2">
      <c r="A6" s="2" t="s">
        <v>86</v>
      </c>
      <c r="B6" s="34">
        <f>DEBT!D3*DEBT!D5</f>
        <v>48</v>
      </c>
      <c r="C6" s="34">
        <f>DEBT!E3*DEBT!E5</f>
        <v>45.6</v>
      </c>
      <c r="D6" s="34">
        <f>DEBT!F3*DEBT!F5</f>
        <v>43.2</v>
      </c>
      <c r="E6" s="34">
        <f>DEBT!G3*DEBT!G5</f>
        <v>40.800000000000004</v>
      </c>
      <c r="F6" s="34">
        <f>DEBT!H3*DEBT!H5</f>
        <v>38.4</v>
      </c>
    </row>
    <row r="7" spans="1:6" x14ac:dyDescent="0.2">
      <c r="A7" s="2" t="s">
        <v>87</v>
      </c>
      <c r="B7" s="21">
        <f>B5-B6</f>
        <v>62.25</v>
      </c>
      <c r="C7" s="21">
        <f t="shared" ref="C7:F7" si="0">C5-C6</f>
        <v>70.162499999999994</v>
      </c>
      <c r="D7" s="21">
        <f t="shared" si="0"/>
        <v>78.350624999999994</v>
      </c>
      <c r="E7" s="21">
        <f t="shared" si="0"/>
        <v>86.828156250000006</v>
      </c>
      <c r="F7" s="21">
        <f t="shared" si="0"/>
        <v>95.609564062500027</v>
      </c>
    </row>
    <row r="8" spans="1:6" x14ac:dyDescent="0.2">
      <c r="A8" s="24" t="s">
        <v>79</v>
      </c>
      <c r="B8" s="21">
        <f>B7*Tax_Rate</f>
        <v>15.5625</v>
      </c>
      <c r="C8" s="21">
        <f>C7*Tax_Rate</f>
        <v>17.540624999999999</v>
      </c>
      <c r="D8" s="21">
        <f>D7*Tax_Rate</f>
        <v>19.587656249999998</v>
      </c>
      <c r="E8" s="21">
        <f>E7*Tax_Rate</f>
        <v>21.707039062500002</v>
      </c>
      <c r="F8" s="21">
        <f>F7*Tax_Rate</f>
        <v>23.902391015625007</v>
      </c>
    </row>
    <row r="9" spans="1:6" x14ac:dyDescent="0.2">
      <c r="A9" s="24" t="s">
        <v>80</v>
      </c>
      <c r="B9" s="21">
        <f>B2*INPUTS!$B$21</f>
        <v>12.6</v>
      </c>
      <c r="C9" s="21">
        <f>C2*INPUTS!$B$21</f>
        <v>13.229999999999999</v>
      </c>
      <c r="D9" s="21">
        <f>D2*INPUTS!$B$21</f>
        <v>13.891500000000001</v>
      </c>
      <c r="E9" s="21">
        <f>E2*INPUTS!$B$21</f>
        <v>14.586075000000001</v>
      </c>
      <c r="F9" s="21">
        <f>F2*INPUTS!$B$21</f>
        <v>15.315378750000001</v>
      </c>
    </row>
    <row r="10" spans="1:6" x14ac:dyDescent="0.2">
      <c r="A10" s="30" t="s">
        <v>81</v>
      </c>
      <c r="B10" s="27">
        <f>B2*INPUTS!$B$22</f>
        <v>8.4</v>
      </c>
      <c r="C10" s="27">
        <f>C2*INPUTS!$B$22</f>
        <v>8.82</v>
      </c>
      <c r="D10" s="27">
        <f>D2*INPUTS!$B$22</f>
        <v>9.261000000000001</v>
      </c>
      <c r="E10" s="27">
        <f>E2*INPUTS!$B$22</f>
        <v>9.7240500000000019</v>
      </c>
      <c r="F10" s="27">
        <f>F2*INPUTS!$B$22</f>
        <v>10.210252500000001</v>
      </c>
    </row>
    <row r="11" spans="1:6" x14ac:dyDescent="0.2">
      <c r="A11" s="25" t="s">
        <v>73</v>
      </c>
      <c r="B11" s="21">
        <f>B5-B6-B8-B9-B10</f>
        <v>25.6875</v>
      </c>
      <c r="C11" s="21">
        <f t="shared" ref="C11:F11" si="1">C5-C6-C8-C9-C10</f>
        <v>30.571874999999999</v>
      </c>
      <c r="D11" s="21">
        <f t="shared" si="1"/>
        <v>35.610468749999995</v>
      </c>
      <c r="E11" s="21">
        <f t="shared" si="1"/>
        <v>40.810992187500005</v>
      </c>
      <c r="F11" s="21">
        <f t="shared" si="1"/>
        <v>46.181541796875024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5FAD-19B8-9B4A-A352-B5A6453185A4}">
  <dimension ref="A1:F37"/>
  <sheetViews>
    <sheetView workbookViewId="0">
      <selection activeCell="B3" sqref="B3"/>
    </sheetView>
  </sheetViews>
  <sheetFormatPr baseColWidth="10" defaultRowHeight="16" x14ac:dyDescent="0.2"/>
  <cols>
    <col min="1" max="1" width="16.83203125" customWidth="1"/>
  </cols>
  <sheetData>
    <row r="1" spans="1:6" x14ac:dyDescent="0.2">
      <c r="C1" s="13" t="s">
        <v>114</v>
      </c>
      <c r="D1" s="13"/>
      <c r="E1" s="13"/>
    </row>
    <row r="2" spans="1:6" x14ac:dyDescent="0.2">
      <c r="B2" s="23" t="s">
        <v>70</v>
      </c>
      <c r="C2" s="23" t="s">
        <v>74</v>
      </c>
      <c r="D2" s="23" t="s">
        <v>75</v>
      </c>
      <c r="E2" s="23" t="s">
        <v>76</v>
      </c>
      <c r="F2" s="23" t="s">
        <v>77</v>
      </c>
    </row>
    <row r="3" spans="1:6" x14ac:dyDescent="0.2">
      <c r="A3" s="2" t="s">
        <v>88</v>
      </c>
      <c r="B3" s="21" cm="1">
        <f t="array" ref="B3:F3">OPS!B2:F2</f>
        <v>420</v>
      </c>
      <c r="C3" s="21">
        <v>441</v>
      </c>
      <c r="D3" s="21">
        <v>463.05</v>
      </c>
      <c r="E3" s="21">
        <v>486.20250000000004</v>
      </c>
      <c r="F3" s="21">
        <v>510.51262500000007</v>
      </c>
    </row>
    <row r="4" spans="1:6" x14ac:dyDescent="0.2">
      <c r="A4" s="2" t="s">
        <v>72</v>
      </c>
      <c r="B4" s="21">
        <f>OPS!B5</f>
        <v>110.25</v>
      </c>
      <c r="C4" s="21">
        <f>OPS!C5</f>
        <v>115.7625</v>
      </c>
      <c r="D4" s="21">
        <f>OPS!D5</f>
        <v>121.550625</v>
      </c>
      <c r="E4" s="21">
        <f>OPS!E5</f>
        <v>127.62815625000002</v>
      </c>
      <c r="F4" s="21">
        <f>OPS!F5</f>
        <v>134.00956406250003</v>
      </c>
    </row>
    <row r="5" spans="1:6" x14ac:dyDescent="0.2">
      <c r="A5" s="2" t="s">
        <v>91</v>
      </c>
      <c r="B5" s="21">
        <f>B3*2%</f>
        <v>8.4</v>
      </c>
      <c r="C5" s="21">
        <f>C3*2%</f>
        <v>8.82</v>
      </c>
      <c r="D5" s="21">
        <f>D3*2%</f>
        <v>9.261000000000001</v>
      </c>
      <c r="E5" s="21">
        <f>E3*2%</f>
        <v>9.7240500000000019</v>
      </c>
      <c r="F5" s="21">
        <f>F3*2%</f>
        <v>10.210252500000001</v>
      </c>
    </row>
    <row r="6" spans="1:6" x14ac:dyDescent="0.2">
      <c r="A6" s="2" t="s">
        <v>104</v>
      </c>
      <c r="B6" s="21">
        <f>B4-B5</f>
        <v>101.85</v>
      </c>
      <c r="C6" s="21">
        <f t="shared" ref="C6:F6" si="0">C4-C5</f>
        <v>106.9425</v>
      </c>
      <c r="D6" s="21">
        <f t="shared" si="0"/>
        <v>112.289625</v>
      </c>
      <c r="E6" s="21">
        <f t="shared" si="0"/>
        <v>117.90410625000001</v>
      </c>
      <c r="F6" s="21">
        <f t="shared" si="0"/>
        <v>123.79931156250004</v>
      </c>
    </row>
    <row r="7" spans="1:6" x14ac:dyDescent="0.2">
      <c r="A7" s="2" t="s">
        <v>86</v>
      </c>
      <c r="B7" s="21" cm="1">
        <f t="array" ref="B7:F7">DEBT!D6:H6</f>
        <v>48</v>
      </c>
      <c r="C7" s="21">
        <v>45.6</v>
      </c>
      <c r="D7" s="21">
        <v>43.2</v>
      </c>
      <c r="E7" s="21">
        <v>40.800000000000004</v>
      </c>
      <c r="F7" s="21">
        <v>38.4</v>
      </c>
    </row>
    <row r="8" spans="1:6" x14ac:dyDescent="0.2">
      <c r="A8" s="2" t="s">
        <v>87</v>
      </c>
      <c r="B8" s="21">
        <f>B6-B7</f>
        <v>53.849999999999994</v>
      </c>
      <c r="C8" s="21">
        <f t="shared" ref="C8:F8" si="1">C6-C7</f>
        <v>61.342499999999994</v>
      </c>
      <c r="D8" s="21">
        <f t="shared" si="1"/>
        <v>69.089624999999998</v>
      </c>
      <c r="E8" s="21">
        <f t="shared" si="1"/>
        <v>77.104106250000001</v>
      </c>
      <c r="F8" s="21">
        <f t="shared" si="1"/>
        <v>85.399311562500031</v>
      </c>
    </row>
    <row r="9" spans="1:6" x14ac:dyDescent="0.2">
      <c r="A9" s="26" t="s">
        <v>89</v>
      </c>
      <c r="B9" s="27">
        <f>B8*25%</f>
        <v>13.462499999999999</v>
      </c>
      <c r="C9" s="27">
        <f t="shared" ref="C9:F9" si="2">C8*25%</f>
        <v>15.335624999999999</v>
      </c>
      <c r="D9" s="27">
        <f t="shared" si="2"/>
        <v>17.27240625</v>
      </c>
      <c r="E9" s="27">
        <f t="shared" si="2"/>
        <v>19.2760265625</v>
      </c>
      <c r="F9" s="27">
        <f t="shared" si="2"/>
        <v>21.349827890625008</v>
      </c>
    </row>
    <row r="10" spans="1:6" x14ac:dyDescent="0.2">
      <c r="A10" s="2" t="s">
        <v>90</v>
      </c>
      <c r="B10" s="21">
        <f>B8-B9</f>
        <v>40.387499999999996</v>
      </c>
      <c r="C10" s="21">
        <f t="shared" ref="C10:F10" si="3">C8-C9</f>
        <v>46.006874999999994</v>
      </c>
      <c r="D10" s="21">
        <f t="shared" si="3"/>
        <v>51.817218749999995</v>
      </c>
      <c r="E10" s="21">
        <f t="shared" si="3"/>
        <v>57.828079687500001</v>
      </c>
      <c r="F10" s="21">
        <f t="shared" si="3"/>
        <v>64.049483671875024</v>
      </c>
    </row>
    <row r="12" spans="1:6" x14ac:dyDescent="0.2">
      <c r="C12" s="13" t="s">
        <v>113</v>
      </c>
      <c r="D12" s="13"/>
      <c r="E12" s="13"/>
    </row>
    <row r="13" spans="1:6" x14ac:dyDescent="0.2">
      <c r="B13" s="23" t="s">
        <v>70</v>
      </c>
      <c r="C13" s="23" t="s">
        <v>74</v>
      </c>
      <c r="D13" s="23" t="s">
        <v>75</v>
      </c>
      <c r="E13" s="23" t="s">
        <v>76</v>
      </c>
      <c r="F13" s="23" t="s">
        <v>77</v>
      </c>
    </row>
    <row r="14" spans="1:6" x14ac:dyDescent="0.2">
      <c r="A14" s="2" t="s">
        <v>105</v>
      </c>
      <c r="B14" s="21">
        <f>B6*(1-25%)</f>
        <v>76.387499999999989</v>
      </c>
      <c r="C14" s="21">
        <f t="shared" ref="C14:F14" si="4">C6*(1-25%)</f>
        <v>80.206874999999997</v>
      </c>
      <c r="D14" s="21">
        <f t="shared" si="4"/>
        <v>84.217218750000001</v>
      </c>
      <c r="E14" s="21">
        <f t="shared" si="4"/>
        <v>88.428079687500002</v>
      </c>
      <c r="F14" s="21">
        <f t="shared" si="4"/>
        <v>92.849483671875021</v>
      </c>
    </row>
    <row r="15" spans="1:6" x14ac:dyDescent="0.2">
      <c r="A15" s="2" t="s">
        <v>91</v>
      </c>
      <c r="B15" s="21">
        <f>B3*2%</f>
        <v>8.4</v>
      </c>
      <c r="C15" s="21">
        <f t="shared" ref="C15:F15" si="5">C3*2%</f>
        <v>8.82</v>
      </c>
      <c r="D15" s="21">
        <f t="shared" si="5"/>
        <v>9.261000000000001</v>
      </c>
      <c r="E15" s="21">
        <f t="shared" si="5"/>
        <v>9.7240500000000019</v>
      </c>
      <c r="F15" s="21">
        <f t="shared" si="5"/>
        <v>10.210252500000001</v>
      </c>
    </row>
    <row r="16" spans="1:6" x14ac:dyDescent="0.2">
      <c r="A16" s="3" t="s">
        <v>92</v>
      </c>
      <c r="B16" s="21" cm="1">
        <f t="array" ref="B16:F16">OPS!B9:F9</f>
        <v>12.6</v>
      </c>
      <c r="C16" s="21">
        <v>13.229999999999999</v>
      </c>
      <c r="D16" s="21">
        <v>13.891500000000001</v>
      </c>
      <c r="E16" s="21">
        <v>14.586075000000001</v>
      </c>
      <c r="F16" s="21">
        <v>15.315378750000001</v>
      </c>
    </row>
    <row r="17" spans="1:6" x14ac:dyDescent="0.2">
      <c r="A17" s="3" t="s">
        <v>93</v>
      </c>
      <c r="B17" s="21" cm="1">
        <f t="array" ref="B17:F17">OPS!B10:F10</f>
        <v>8.4</v>
      </c>
      <c r="C17" s="21">
        <v>8.82</v>
      </c>
      <c r="D17" s="21">
        <v>9.261000000000001</v>
      </c>
      <c r="E17" s="21">
        <v>9.7240500000000019</v>
      </c>
      <c r="F17" s="21">
        <v>10.210252500000001</v>
      </c>
    </row>
    <row r="18" spans="1:6" x14ac:dyDescent="0.2">
      <c r="A18" s="2" t="s">
        <v>73</v>
      </c>
      <c r="B18" s="21">
        <f>B14+B15-B16-B17</f>
        <v>63.787500000000001</v>
      </c>
      <c r="C18" s="21">
        <f t="shared" ref="C18:F18" si="6">C14+C15-C16-C17</f>
        <v>66.976874999999978</v>
      </c>
      <c r="D18" s="21">
        <f t="shared" si="6"/>
        <v>70.325718749999993</v>
      </c>
      <c r="E18" s="21">
        <f t="shared" si="6"/>
        <v>73.842004687500008</v>
      </c>
      <c r="F18" s="21">
        <f t="shared" si="6"/>
        <v>77.534104921875013</v>
      </c>
    </row>
    <row r="19" spans="1:6" x14ac:dyDescent="0.2">
      <c r="A19" s="2" t="s">
        <v>94</v>
      </c>
      <c r="B19" s="2"/>
      <c r="C19" s="2"/>
      <c r="D19" s="2"/>
      <c r="E19" s="2"/>
      <c r="F19" s="2"/>
    </row>
    <row r="20" spans="1:6" x14ac:dyDescent="0.2">
      <c r="A20" s="3" t="s">
        <v>97</v>
      </c>
      <c r="B20" s="21" cm="1">
        <f t="array" ref="B20:F20">DEBT!D7:H7</f>
        <v>30</v>
      </c>
      <c r="C20" s="21">
        <v>30</v>
      </c>
      <c r="D20" s="21">
        <v>30</v>
      </c>
      <c r="E20" s="21">
        <v>30</v>
      </c>
      <c r="F20" s="21">
        <v>30</v>
      </c>
    </row>
    <row r="21" spans="1:6" x14ac:dyDescent="0.2">
      <c r="A21" s="35" t="s">
        <v>98</v>
      </c>
      <c r="B21" s="27">
        <f>B20</f>
        <v>30</v>
      </c>
      <c r="C21" s="27">
        <f t="shared" ref="C21:F21" si="7">C20</f>
        <v>30</v>
      </c>
      <c r="D21" s="27">
        <f t="shared" si="7"/>
        <v>30</v>
      </c>
      <c r="E21" s="27">
        <f t="shared" si="7"/>
        <v>30</v>
      </c>
      <c r="F21" s="27">
        <f t="shared" si="7"/>
        <v>30</v>
      </c>
    </row>
    <row r="22" spans="1:6" x14ac:dyDescent="0.2">
      <c r="A22" s="2" t="s">
        <v>95</v>
      </c>
      <c r="B22" s="21">
        <f>B18-B21</f>
        <v>33.787500000000001</v>
      </c>
      <c r="C22" s="21">
        <f>C18-C21</f>
        <v>36.976874999999978</v>
      </c>
      <c r="D22" s="21">
        <f>D18-D21</f>
        <v>40.325718749999993</v>
      </c>
      <c r="E22" s="21">
        <f>E18-E21</f>
        <v>43.842004687500008</v>
      </c>
      <c r="F22" s="21">
        <f>F18-F21</f>
        <v>47.534104921875013</v>
      </c>
    </row>
    <row r="23" spans="1:6" x14ac:dyDescent="0.2">
      <c r="A23" s="2" t="s">
        <v>99</v>
      </c>
      <c r="B23" s="2">
        <f>INPUTS!B28</f>
        <v>10</v>
      </c>
      <c r="C23" s="21">
        <f>B24</f>
        <v>43.787500000000001</v>
      </c>
      <c r="D23" s="21">
        <f t="shared" ref="D23:F23" si="8">C24</f>
        <v>80.764374999999973</v>
      </c>
      <c r="E23" s="21">
        <f t="shared" si="8"/>
        <v>121.09009374999997</v>
      </c>
      <c r="F23" s="21">
        <f t="shared" si="8"/>
        <v>164.93209843749997</v>
      </c>
    </row>
    <row r="24" spans="1:6" x14ac:dyDescent="0.2">
      <c r="A24" s="2" t="s">
        <v>96</v>
      </c>
      <c r="B24" s="21">
        <f>B23+B22</f>
        <v>43.787500000000001</v>
      </c>
      <c r="C24" s="21">
        <f>C23+C22</f>
        <v>80.764374999999973</v>
      </c>
      <c r="D24" s="21">
        <f t="shared" ref="D24:F24" si="9">D23+D22</f>
        <v>121.09009374999997</v>
      </c>
      <c r="E24" s="21">
        <f t="shared" si="9"/>
        <v>164.93209843749997</v>
      </c>
      <c r="F24" s="21">
        <f t="shared" si="9"/>
        <v>212.46620335937499</v>
      </c>
    </row>
    <row r="26" spans="1:6" x14ac:dyDescent="0.2">
      <c r="C26" s="13" t="s">
        <v>100</v>
      </c>
      <c r="D26" s="13"/>
      <c r="E26" s="13"/>
    </row>
    <row r="27" spans="1:6" x14ac:dyDescent="0.2">
      <c r="B27" s="23" t="s">
        <v>70</v>
      </c>
      <c r="C27" s="23" t="s">
        <v>74</v>
      </c>
      <c r="D27" s="23" t="s">
        <v>75</v>
      </c>
      <c r="E27" s="23" t="s">
        <v>76</v>
      </c>
      <c r="F27" s="23" t="s">
        <v>77</v>
      </c>
    </row>
    <row r="28" spans="1:6" x14ac:dyDescent="0.2">
      <c r="A28" s="2" t="s">
        <v>106</v>
      </c>
      <c r="B28" s="21"/>
      <c r="C28" s="21"/>
      <c r="D28" s="21"/>
      <c r="E28" s="21"/>
      <c r="F28" s="21"/>
    </row>
    <row r="29" spans="1:6" x14ac:dyDescent="0.2">
      <c r="A29" s="3" t="s">
        <v>107</v>
      </c>
      <c r="B29" s="36">
        <f>B24</f>
        <v>43.787500000000001</v>
      </c>
      <c r="C29" s="36">
        <f>C24</f>
        <v>80.764374999999973</v>
      </c>
      <c r="D29" s="36">
        <f>D24</f>
        <v>121.09009374999997</v>
      </c>
      <c r="E29" s="36">
        <f>E24</f>
        <v>164.93209843749997</v>
      </c>
      <c r="F29" s="36">
        <f>F24</f>
        <v>212.46620335937499</v>
      </c>
    </row>
    <row r="30" spans="1:6" x14ac:dyDescent="0.2">
      <c r="A30" s="3" t="s">
        <v>108</v>
      </c>
      <c r="B30" s="21">
        <f>B37-B29</f>
        <v>986.6</v>
      </c>
      <c r="C30" s="21">
        <f t="shared" ref="C30:F30" si="10">C37-C29</f>
        <v>965.63000000000011</v>
      </c>
      <c r="D30" s="21">
        <f t="shared" si="10"/>
        <v>947.12150000000008</v>
      </c>
      <c r="E30" s="21">
        <f t="shared" si="10"/>
        <v>931.107575</v>
      </c>
      <c r="F30" s="21">
        <f t="shared" si="10"/>
        <v>917.62295375000008</v>
      </c>
    </row>
    <row r="31" spans="1:6" x14ac:dyDescent="0.2">
      <c r="A31" s="2" t="s">
        <v>112</v>
      </c>
      <c r="B31" s="21">
        <f>SUM(B29:B30)</f>
        <v>1030.3875</v>
      </c>
      <c r="C31" s="21">
        <f t="shared" ref="C31:F31" si="11">SUM(C29:C30)</f>
        <v>1046.3943750000001</v>
      </c>
      <c r="D31" s="21">
        <f t="shared" si="11"/>
        <v>1068.21159375</v>
      </c>
      <c r="E31" s="21">
        <f t="shared" si="11"/>
        <v>1096.0396734374999</v>
      </c>
      <c r="F31" s="21">
        <f t="shared" si="11"/>
        <v>1130.089157109375</v>
      </c>
    </row>
    <row r="32" spans="1:6" x14ac:dyDescent="0.2">
      <c r="A32" s="2" t="s">
        <v>109</v>
      </c>
      <c r="B32" s="2"/>
      <c r="C32" s="2"/>
      <c r="D32" s="2"/>
      <c r="E32" s="2"/>
      <c r="F32" s="2"/>
    </row>
    <row r="33" spans="1:6" x14ac:dyDescent="0.2">
      <c r="A33" s="3" t="s">
        <v>110</v>
      </c>
      <c r="B33" s="21">
        <f>DEBT!D10</f>
        <v>570</v>
      </c>
      <c r="C33" s="21">
        <f>DEBT!E10</f>
        <v>540</v>
      </c>
      <c r="D33" s="21">
        <f>DEBT!F10</f>
        <v>510</v>
      </c>
      <c r="E33" s="21">
        <f>DEBT!G10</f>
        <v>480</v>
      </c>
      <c r="F33" s="21">
        <f>DEBT!H10</f>
        <v>450</v>
      </c>
    </row>
    <row r="34" spans="1:6" x14ac:dyDescent="0.2">
      <c r="A34" s="2" t="s">
        <v>101</v>
      </c>
      <c r="B34" s="2"/>
      <c r="C34" s="2"/>
      <c r="D34" s="2"/>
      <c r="E34" s="2"/>
      <c r="F34" s="2"/>
    </row>
    <row r="35" spans="1:6" x14ac:dyDescent="0.2">
      <c r="A35" s="3" t="s">
        <v>102</v>
      </c>
      <c r="B35" s="2">
        <f>SOURCES_USES!$B$8</f>
        <v>420</v>
      </c>
      <c r="C35" s="2">
        <f>SOURCES_USES!$B$8</f>
        <v>420</v>
      </c>
      <c r="D35" s="2">
        <f>SOURCES_USES!$B$8</f>
        <v>420</v>
      </c>
      <c r="E35" s="2">
        <f>SOURCES_USES!$B$8</f>
        <v>420</v>
      </c>
      <c r="F35" s="2">
        <f>SOURCES_USES!$B$8</f>
        <v>420</v>
      </c>
    </row>
    <row r="36" spans="1:6" x14ac:dyDescent="0.2">
      <c r="A36" s="3" t="s">
        <v>103</v>
      </c>
      <c r="B36" s="21">
        <f>B10</f>
        <v>40.387499999999996</v>
      </c>
      <c r="C36" s="21">
        <f>C10+B36</f>
        <v>86.394374999999997</v>
      </c>
      <c r="D36" s="21">
        <f t="shared" ref="D36:F36" si="12">D10+C36</f>
        <v>138.21159374999999</v>
      </c>
      <c r="E36" s="21">
        <f t="shared" si="12"/>
        <v>196.0396734375</v>
      </c>
      <c r="F36" s="21">
        <f t="shared" si="12"/>
        <v>260.08915710937504</v>
      </c>
    </row>
    <row r="37" spans="1:6" x14ac:dyDescent="0.2">
      <c r="A37" s="3" t="s">
        <v>111</v>
      </c>
      <c r="B37" s="21">
        <f>B33+B35+B36</f>
        <v>1030.3875</v>
      </c>
      <c r="C37" s="21">
        <f t="shared" ref="C37:F37" si="13">C33+C35+C36</f>
        <v>1046.3943750000001</v>
      </c>
      <c r="D37" s="21">
        <f t="shared" si="13"/>
        <v>1068.21159375</v>
      </c>
      <c r="E37" s="21">
        <f t="shared" si="13"/>
        <v>1096.0396734374999</v>
      </c>
      <c r="F37" s="21">
        <f t="shared" si="13"/>
        <v>1130.089157109375</v>
      </c>
    </row>
  </sheetData>
  <mergeCells count="3">
    <mergeCell ref="C1:E1"/>
    <mergeCell ref="C12:E12"/>
    <mergeCell ref="C26:E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6A9A-FBE2-4A46-9283-DBCB49981038}">
  <dimension ref="A1:O23"/>
  <sheetViews>
    <sheetView tabSelected="1" workbookViewId="0">
      <selection activeCell="I6" sqref="I6"/>
    </sheetView>
  </sheetViews>
  <sheetFormatPr baseColWidth="10" defaultRowHeight="16" x14ac:dyDescent="0.2"/>
  <cols>
    <col min="1" max="1" width="23.1640625" customWidth="1"/>
  </cols>
  <sheetData>
    <row r="1" spans="1:7" x14ac:dyDescent="0.2">
      <c r="A1" s="6" t="s">
        <v>115</v>
      </c>
      <c r="B1" s="6"/>
      <c r="C1" s="6"/>
      <c r="D1" s="6"/>
      <c r="E1" s="6"/>
      <c r="F1" s="6"/>
      <c r="G1" s="6"/>
    </row>
    <row r="2" spans="1:7" x14ac:dyDescent="0.2">
      <c r="A2" s="2" t="s">
        <v>132</v>
      </c>
      <c r="B2" s="17">
        <v>0.05</v>
      </c>
    </row>
    <row r="3" spans="1:7" x14ac:dyDescent="0.2">
      <c r="A3" s="2" t="s">
        <v>124</v>
      </c>
      <c r="B3" s="2">
        <v>5</v>
      </c>
    </row>
    <row r="4" spans="1:7" x14ac:dyDescent="0.2">
      <c r="A4" s="2" t="s">
        <v>116</v>
      </c>
      <c r="B4" s="21">
        <f>FIN_STMNTS!F4</f>
        <v>134.00956406250003</v>
      </c>
    </row>
    <row r="5" spans="1:7" x14ac:dyDescent="0.2">
      <c r="A5" s="2" t="s">
        <v>125</v>
      </c>
      <c r="B5" s="2">
        <v>11</v>
      </c>
    </row>
    <row r="6" spans="1:7" x14ac:dyDescent="0.2">
      <c r="A6" s="2" t="s">
        <v>117</v>
      </c>
      <c r="B6" s="21">
        <f>B4*B5</f>
        <v>1474.1052046875004</v>
      </c>
    </row>
    <row r="7" spans="1:7" x14ac:dyDescent="0.2">
      <c r="D7" s="18"/>
    </row>
    <row r="8" spans="1:7" x14ac:dyDescent="0.2">
      <c r="A8" s="2" t="s">
        <v>118</v>
      </c>
      <c r="B8" s="21">
        <f>DEBT!H10</f>
        <v>450</v>
      </c>
    </row>
    <row r="9" spans="1:7" x14ac:dyDescent="0.2">
      <c r="A9" s="2" t="s">
        <v>119</v>
      </c>
      <c r="B9" s="21">
        <f>FIN_STMNTS!F24</f>
        <v>212.46620335937499</v>
      </c>
    </row>
    <row r="10" spans="1:7" x14ac:dyDescent="0.2">
      <c r="A10" s="2" t="s">
        <v>120</v>
      </c>
      <c r="B10" s="21">
        <f>B6-B8+B9</f>
        <v>1236.5714080468754</v>
      </c>
    </row>
    <row r="12" spans="1:7" x14ac:dyDescent="0.2">
      <c r="A12" s="2" t="s">
        <v>121</v>
      </c>
      <c r="B12" s="2">
        <f>SOURCES_USES!B8</f>
        <v>420</v>
      </c>
    </row>
    <row r="13" spans="1:7" x14ac:dyDescent="0.2">
      <c r="A13" s="2" t="s">
        <v>122</v>
      </c>
      <c r="B13" s="37">
        <f>B10/B12</f>
        <v>2.9442176382068461</v>
      </c>
    </row>
    <row r="14" spans="1:7" x14ac:dyDescent="0.2">
      <c r="A14" s="32" t="s">
        <v>123</v>
      </c>
      <c r="B14" s="32" t="s">
        <v>126</v>
      </c>
      <c r="C14" s="32" t="s">
        <v>127</v>
      </c>
      <c r="D14" s="32" t="s">
        <v>128</v>
      </c>
      <c r="E14" s="32" t="s">
        <v>75</v>
      </c>
      <c r="F14" s="32" t="s">
        <v>129</v>
      </c>
      <c r="G14" s="32" t="s">
        <v>130</v>
      </c>
    </row>
    <row r="15" spans="1:7" x14ac:dyDescent="0.2">
      <c r="A15" s="2" t="s">
        <v>131</v>
      </c>
      <c r="B15" s="2">
        <v>-420</v>
      </c>
      <c r="C15" s="2">
        <v>0</v>
      </c>
      <c r="D15" s="2">
        <v>0</v>
      </c>
      <c r="E15" s="2">
        <v>0</v>
      </c>
      <c r="F15" s="2">
        <v>0</v>
      </c>
      <c r="G15" s="21">
        <f>B10</f>
        <v>1236.5714080468754</v>
      </c>
    </row>
    <row r="16" spans="1:7" x14ac:dyDescent="0.2">
      <c r="A16" s="2" t="s">
        <v>123</v>
      </c>
      <c r="B16" s="17">
        <f>IRR(B15:G15)</f>
        <v>0.2410634398147764</v>
      </c>
    </row>
    <row r="19" spans="1:15" x14ac:dyDescent="0.2">
      <c r="A19" s="38"/>
    </row>
    <row r="20" spans="1:15" x14ac:dyDescent="0.2">
      <c r="A20" s="39"/>
      <c r="B20" s="42"/>
      <c r="C20" s="42"/>
      <c r="D20" s="42"/>
      <c r="E20" s="42"/>
    </row>
    <row r="21" spans="1:15" x14ac:dyDescent="0.2">
      <c r="A21" s="41"/>
      <c r="B21" s="39"/>
      <c r="C21" s="39"/>
      <c r="D21" s="39"/>
      <c r="E21" s="39"/>
      <c r="K21" s="15"/>
      <c r="L21" s="43"/>
      <c r="M21" s="43"/>
      <c r="N21" s="43"/>
      <c r="O21" s="43"/>
    </row>
    <row r="22" spans="1:15" x14ac:dyDescent="0.2">
      <c r="A22" s="41"/>
      <c r="B22" s="39"/>
      <c r="C22" s="39"/>
      <c r="D22" s="39"/>
      <c r="E22" s="39"/>
    </row>
    <row r="23" spans="1:15" x14ac:dyDescent="0.2">
      <c r="A23" s="41"/>
      <c r="B23" s="39"/>
      <c r="C23" s="39"/>
      <c r="D23" s="39"/>
      <c r="E23" s="39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README</vt:lpstr>
      <vt:lpstr>TRANSACTION</vt:lpstr>
      <vt:lpstr>INPUTS</vt:lpstr>
      <vt:lpstr>SOURCES_USES</vt:lpstr>
      <vt:lpstr>DEBT</vt:lpstr>
      <vt:lpstr>OPS</vt:lpstr>
      <vt:lpstr>FIN_STMNTS</vt:lpstr>
      <vt:lpstr>RETURNS</vt:lpstr>
      <vt:lpstr>All_in_Rate</vt:lpstr>
      <vt:lpstr>Amoritization</vt:lpstr>
      <vt:lpstr>BaseRate</vt:lpstr>
      <vt:lpstr>Cash_Sweep</vt:lpstr>
      <vt:lpstr>Debt_EV</vt:lpstr>
      <vt:lpstr>Enterprise_Value</vt:lpstr>
      <vt:lpstr>Entry_EBITDA</vt:lpstr>
      <vt:lpstr>Entry_Multiple</vt:lpstr>
      <vt:lpstr>Exit_Multiple</vt:lpstr>
      <vt:lpstr>Holding_Period</vt:lpstr>
      <vt:lpstr>Min_Cash</vt:lpstr>
      <vt:lpstr>Spread_TLB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O'Connell</dc:creator>
  <cp:lastModifiedBy>Kieran O'Connell</cp:lastModifiedBy>
  <dcterms:created xsi:type="dcterms:W3CDTF">2026-03-18T03:31:59Z</dcterms:created>
  <dcterms:modified xsi:type="dcterms:W3CDTF">2026-03-18T07:35:52Z</dcterms:modified>
</cp:coreProperties>
</file>