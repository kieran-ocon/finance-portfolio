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anoconnell/Desktop/portfolio - Main/"/>
    </mc:Choice>
  </mc:AlternateContent>
  <xr:revisionPtr revIDLastSave="0" documentId="13_ncr:1_{88487B88-4626-424E-83D2-B6216E143419}" xr6:coauthVersionLast="47" xr6:coauthVersionMax="47" xr10:uidLastSave="{00000000-0000-0000-0000-000000000000}"/>
  <bookViews>
    <workbookView xWindow="-38400" yWindow="-1960" windowWidth="38400" windowHeight="21600" xr2:uid="{FA6DFAD4-6AEC-A142-9F08-9E820DBF8BD3}"/>
  </bookViews>
  <sheets>
    <sheet name="README" sheetId="2" r:id="rId1"/>
    <sheet name="IS_BS" sheetId="3" r:id="rId2"/>
    <sheet name="SP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4" l="1"/>
  <c r="C25" i="4"/>
  <c r="D25" i="4"/>
  <c r="E25" i="4"/>
  <c r="F25" i="4"/>
  <c r="B26" i="4"/>
  <c r="C26" i="4"/>
  <c r="B36" i="4" s="1" a="1"/>
  <c r="D26" i="4"/>
  <c r="E26" i="4"/>
  <c r="F26" i="4"/>
  <c r="B27" i="4"/>
  <c r="C27" i="4"/>
  <c r="D27" i="4"/>
  <c r="E27" i="4"/>
  <c r="F27" i="4"/>
  <c r="B28" i="4"/>
  <c r="B29" i="4" s="1"/>
  <c r="B31" i="4" s="1"/>
  <c r="C28" i="4"/>
  <c r="C29" i="4" s="1"/>
  <c r="C31" i="4" s="1"/>
  <c r="C33" i="4" s="1"/>
  <c r="D28" i="4"/>
  <c r="D29" i="4" s="1"/>
  <c r="D31" i="4" s="1"/>
  <c r="D33" i="4" s="1"/>
  <c r="E28" i="4"/>
  <c r="E29" i="4" s="1"/>
  <c r="E31" i="4" s="1"/>
  <c r="E33" i="4" s="1"/>
  <c r="F28" i="4"/>
  <c r="F29" i="4"/>
  <c r="F31" i="4" s="1"/>
  <c r="B30" i="4" a="1"/>
  <c r="B30" i="4"/>
  <c r="B32" i="4"/>
  <c r="C32" i="4"/>
  <c r="D32" i="4"/>
  <c r="E32" i="4"/>
  <c r="F32" i="4"/>
  <c r="F38" i="4" s="1"/>
  <c r="C38" i="4"/>
  <c r="D38" i="4"/>
  <c r="D40" i="4" s="1"/>
  <c r="E38" i="4"/>
  <c r="F45" i="4"/>
  <c r="B55" i="4"/>
  <c r="B57" i="4"/>
  <c r="B59" i="4"/>
  <c r="E5" i="3"/>
  <c r="D39" i="4" s="1"/>
  <c r="B6" i="3"/>
  <c r="B7" i="3"/>
  <c r="B8" i="3"/>
  <c r="B10" i="3"/>
  <c r="B11" i="3"/>
  <c r="B21" i="3"/>
  <c r="B25" i="3"/>
  <c r="B33" i="3"/>
  <c r="B37" i="3"/>
  <c r="B40" i="3"/>
  <c r="E34" i="4" l="1"/>
  <c r="B36" i="4"/>
  <c r="B43" i="4" a="1"/>
  <c r="B43" i="4" s="1"/>
  <c r="D34" i="4"/>
  <c r="C34" i="4"/>
  <c r="E40" i="4"/>
  <c r="F33" i="4"/>
  <c r="F34" i="4" s="1"/>
  <c r="F39" i="4"/>
  <c r="F40" i="4" s="1"/>
  <c r="C39" i="4"/>
  <c r="C40" i="4" s="1"/>
  <c r="E39" i="4"/>
  <c r="C47" i="4" l="1" a="1"/>
  <c r="C47" i="4" l="1"/>
  <c r="C49" i="4" s="1"/>
  <c r="F48" i="4"/>
  <c r="F49" i="4" s="1"/>
  <c r="E49" i="4"/>
  <c r="D49" i="4"/>
  <c r="B50" i="4" l="1"/>
  <c r="B54" i="4" s="1"/>
  <c r="B56" i="4" s="1"/>
  <c r="B58" i="4" s="1"/>
  <c r="B6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<sst xmlns="http://schemas.openxmlformats.org/spreadsheetml/2006/main" count="115" uniqueCount="89">
  <si>
    <t xml:space="preserve">Purpose: Financial Modeling and Valuation Analysis </t>
  </si>
  <si>
    <t>Prepared By: Kieran O'Connell</t>
  </si>
  <si>
    <t>Company: Apple Inc</t>
  </si>
  <si>
    <t>Liabilities + Shareholders Equity</t>
  </si>
  <si>
    <t>Shareholders Equity</t>
  </si>
  <si>
    <t>Total liabilities</t>
  </si>
  <si>
    <t>Other non-current liabilities</t>
  </si>
  <si>
    <t>Term Debt</t>
  </si>
  <si>
    <t>Non-current liabilties:</t>
  </si>
  <si>
    <t>Total current liabilities</t>
  </si>
  <si>
    <t>Commercial paper</t>
  </si>
  <si>
    <t>Deferred Revenue</t>
  </si>
  <si>
    <t>Other current liabilities</t>
  </si>
  <si>
    <t>Accounts Payable</t>
  </si>
  <si>
    <t>Current Liabilities:</t>
  </si>
  <si>
    <t>Total Assets:</t>
  </si>
  <si>
    <t>Other non-current assets</t>
  </si>
  <si>
    <t>Marketable Securities</t>
  </si>
  <si>
    <t>Net PPE</t>
  </si>
  <si>
    <t xml:space="preserve">Total Current Assets </t>
  </si>
  <si>
    <t>Other Current Assets</t>
  </si>
  <si>
    <t>Inventories</t>
  </si>
  <si>
    <t xml:space="preserve">Vendor receievables </t>
  </si>
  <si>
    <t>Accounts recieveable</t>
  </si>
  <si>
    <t xml:space="preserve">Cash </t>
  </si>
  <si>
    <t>Item</t>
  </si>
  <si>
    <t>Balance Sheet : Apple Inc</t>
  </si>
  <si>
    <t>Net Income</t>
  </si>
  <si>
    <t>Taxes (24.1%)</t>
  </si>
  <si>
    <t>Earning before taxes</t>
  </si>
  <si>
    <t>Other Income/Expense, (net)</t>
  </si>
  <si>
    <t>EBIT</t>
  </si>
  <si>
    <t>Total Operating Costs</t>
  </si>
  <si>
    <t>(Assumed)</t>
  </si>
  <si>
    <t>Wacc</t>
  </si>
  <si>
    <t>Deprecation</t>
  </si>
  <si>
    <t>Tax Rate</t>
  </si>
  <si>
    <t>Costs(Except Depr)</t>
  </si>
  <si>
    <t xml:space="preserve">Dividends per share </t>
  </si>
  <si>
    <t>Net Sales</t>
  </si>
  <si>
    <t>Number of Common Shares (millions)</t>
  </si>
  <si>
    <t>Other Inputs:</t>
  </si>
  <si>
    <t>Income Statement: Apple Inc</t>
  </si>
  <si>
    <t>Price per share</t>
  </si>
  <si>
    <t>Number of shares</t>
  </si>
  <si>
    <t>Base</t>
  </si>
  <si>
    <t>Value of Common Stock</t>
  </si>
  <si>
    <t>Bear</t>
  </si>
  <si>
    <t xml:space="preserve">Less Value of Debt
</t>
  </si>
  <si>
    <t>Bull</t>
  </si>
  <si>
    <t>Total Value of Company</t>
  </si>
  <si>
    <t>Plus Non-Operating Assets</t>
  </si>
  <si>
    <t>Growth</t>
  </si>
  <si>
    <t>WACC</t>
  </si>
  <si>
    <t>Case</t>
  </si>
  <si>
    <t>Value of Operations</t>
  </si>
  <si>
    <t>Actual</t>
  </si>
  <si>
    <t>Price Per share</t>
  </si>
  <si>
    <t>Value of operations</t>
  </si>
  <si>
    <t>FCF + Horizon Value</t>
  </si>
  <si>
    <t>Horizon Value</t>
  </si>
  <si>
    <t>Free cash flow</t>
  </si>
  <si>
    <t>VALUATION</t>
  </si>
  <si>
    <t>Long-term constant growth in FCF</t>
  </si>
  <si>
    <t>Spread</t>
  </si>
  <si>
    <t>ROIC</t>
  </si>
  <si>
    <t>FCF</t>
  </si>
  <si>
    <t>Investment in Operating capital</t>
  </si>
  <si>
    <t>Nopat</t>
  </si>
  <si>
    <t>Net operatimg capital</t>
  </si>
  <si>
    <t>Net operating working capital</t>
  </si>
  <si>
    <t>Operating current liabilities</t>
  </si>
  <si>
    <t>Operating current assets</t>
  </si>
  <si>
    <t>Calculation of FCF</t>
  </si>
  <si>
    <t>Deferred revenue</t>
  </si>
  <si>
    <t>Accruals (Other current liabilities)</t>
  </si>
  <si>
    <t>Operating Liabilities</t>
  </si>
  <si>
    <t>Projected</t>
  </si>
  <si>
    <t>Net plant and equipment</t>
  </si>
  <si>
    <t>Vendor receivables</t>
  </si>
  <si>
    <t>Accounts receivable</t>
  </si>
  <si>
    <t>Operating Assets</t>
  </si>
  <si>
    <t>Operating Balance sheet</t>
  </si>
  <si>
    <t>Earnings before interest &amp; tax</t>
  </si>
  <si>
    <t>Total operating costs</t>
  </si>
  <si>
    <t>&gt; Assumed 3% of sales</t>
  </si>
  <si>
    <t>Depreciation</t>
  </si>
  <si>
    <t>Costs (except depreciation)</t>
  </si>
  <si>
    <t>&gt;5% growth assumed, apple historicall has 2-6%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</si>
</sst>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&quot;$&quot;#,##0.0;\-&quot;$&quot;#,##0.0"/>
    <numFmt numFmtId="166" formatCode="0.0%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name val="Arial"/>
      <family val="2"/>
    </font>
    <font>
      <sz val="16"/>
      <name val="Aptos"/>
    </font>
    <font>
      <b/>
      <sz val="16"/>
      <name val="Aptos"/>
      <family val="2"/>
    </font>
    <font>
      <b/>
      <sz val="14"/>
      <color theme="1"/>
      <name val="Aptos Narrow"/>
      <scheme val="minor"/>
    </font>
    <font>
      <u val="singleAccounting"/>
      <sz val="16"/>
      <name val="Aptos"/>
    </font>
    <font>
      <b/>
      <u/>
      <sz val="14"/>
      <color theme="1"/>
      <name val="Aptos Narrow"/>
      <scheme val="minor"/>
    </font>
    <font>
      <sz val="14"/>
      <name val="Aptos"/>
    </font>
    <font>
      <sz val="14"/>
      <name val="Aptos"/>
      <family val="2"/>
    </font>
    <font>
      <b/>
      <u/>
      <sz val="14"/>
      <name val="Aptos"/>
      <family val="2"/>
    </font>
    <font>
      <b/>
      <u/>
      <sz val="14"/>
      <color theme="1"/>
      <name val="Aptos"/>
      <family val="2"/>
    </font>
    <font>
      <b/>
      <sz val="14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3" borderId="0" xfId="1" applyFill="1"/>
    <xf numFmtId="0" fontId="2" fillId="2" borderId="0" xfId="1" applyFill="1"/>
    <xf numFmtId="0" fontId="5" fillId="4" borderId="0" xfId="1" applyFont="1" applyFill="1" applyAlignment="1">
      <alignment horizontal="center"/>
    </xf>
    <xf numFmtId="0" fontId="6" fillId="4" borderId="0" xfId="1" applyFont="1" applyFill="1" applyAlignment="1">
      <alignment horizontal="center"/>
    </xf>
    <xf numFmtId="0" fontId="8" fillId="4" borderId="0" xfId="1" applyFont="1" applyFill="1" applyAlignment="1">
      <alignment horizontal="center"/>
    </xf>
    <xf numFmtId="0" fontId="3" fillId="0" borderId="0" xfId="1" applyFont="1"/>
    <xf numFmtId="164" fontId="10" fillId="5" borderId="0" xfId="2" applyNumberFormat="1" applyFont="1" applyFill="1"/>
    <xf numFmtId="0" fontId="11" fillId="5" borderId="0" xfId="2" applyFont="1" applyFill="1"/>
    <xf numFmtId="3" fontId="10" fillId="3" borderId="1" xfId="2" applyNumberFormat="1" applyFont="1" applyFill="1" applyBorder="1"/>
    <xf numFmtId="0" fontId="11" fillId="3" borderId="0" xfId="2" applyFont="1" applyFill="1"/>
    <xf numFmtId="0" fontId="12" fillId="5" borderId="2" xfId="1" applyFont="1" applyFill="1" applyBorder="1" applyAlignment="1">
      <alignment horizontal="center"/>
    </xf>
    <xf numFmtId="164" fontId="10" fillId="3" borderId="0" xfId="2" applyNumberFormat="1" applyFont="1" applyFill="1"/>
    <xf numFmtId="9" fontId="2" fillId="3" borderId="0" xfId="1" applyNumberFormat="1" applyFill="1"/>
    <xf numFmtId="10" fontId="3" fillId="3" borderId="0" xfId="1" applyNumberFormat="1" applyFont="1" applyFill="1"/>
    <xf numFmtId="0" fontId="12" fillId="3" borderId="0" xfId="1" applyFont="1" applyFill="1"/>
    <xf numFmtId="164" fontId="10" fillId="3" borderId="0" xfId="2" applyNumberFormat="1" applyFont="1" applyFill="1" applyAlignment="1">
      <alignment vertical="center"/>
    </xf>
    <xf numFmtId="0" fontId="11" fillId="3" borderId="0" xfId="2" applyFont="1" applyFill="1" applyAlignment="1">
      <alignment wrapText="1"/>
    </xf>
    <xf numFmtId="9" fontId="3" fillId="3" borderId="0" xfId="1" applyNumberFormat="1" applyFont="1" applyFill="1"/>
    <xf numFmtId="10" fontId="2" fillId="3" borderId="0" xfId="1" applyNumberFormat="1" applyFill="1"/>
    <xf numFmtId="164" fontId="13" fillId="3" borderId="1" xfId="2" applyNumberFormat="1" applyFont="1" applyFill="1" applyBorder="1"/>
    <xf numFmtId="0" fontId="12" fillId="4" borderId="0" xfId="1" applyFont="1" applyFill="1"/>
    <xf numFmtId="0" fontId="14" fillId="0" borderId="0" xfId="1" applyFont="1" applyAlignment="1">
      <alignment horizontal="center"/>
    </xf>
    <xf numFmtId="0" fontId="14" fillId="4" borderId="0" xfId="1" applyFont="1" applyFill="1" applyAlignment="1">
      <alignment horizontal="center" vertical="center"/>
    </xf>
    <xf numFmtId="0" fontId="3" fillId="3" borderId="0" xfId="1" applyFont="1" applyFill="1"/>
    <xf numFmtId="8" fontId="3" fillId="3" borderId="0" xfId="1" applyNumberFormat="1" applyFont="1" applyFill="1"/>
    <xf numFmtId="165" fontId="3" fillId="3" borderId="0" xfId="1" applyNumberFormat="1" applyFont="1" applyFill="1"/>
    <xf numFmtId="10" fontId="3" fillId="3" borderId="0" xfId="3" applyNumberFormat="1" applyFont="1" applyFill="1"/>
    <xf numFmtId="166" fontId="10" fillId="3" borderId="0" xfId="4" applyNumberFormat="1" applyFont="1" applyFill="1"/>
    <xf numFmtId="166" fontId="11" fillId="0" borderId="0" xfId="4" applyNumberFormat="1" applyFont="1" applyAlignment="1">
      <alignment horizontal="center"/>
    </xf>
    <xf numFmtId="166" fontId="10" fillId="3" borderId="1" xfId="4" applyNumberFormat="1" applyFont="1" applyFill="1" applyBorder="1"/>
    <xf numFmtId="0" fontId="1" fillId="0" borderId="0" xfId="1" applyFont="1"/>
    <xf numFmtId="165" fontId="15" fillId="3" borderId="0" xfId="2" applyNumberFormat="1" applyFont="1" applyFill="1"/>
    <xf numFmtId="165" fontId="15" fillId="0" borderId="0" xfId="2" applyNumberFormat="1" applyFont="1" applyAlignment="1">
      <alignment horizontal="center"/>
    </xf>
    <xf numFmtId="165" fontId="15" fillId="3" borderId="1" xfId="2" applyNumberFormat="1" applyFont="1" applyFill="1" applyBorder="1"/>
    <xf numFmtId="0" fontId="18" fillId="4" borderId="0" xfId="2" applyFont="1" applyFill="1" applyAlignment="1">
      <alignment horizontal="center" vertical="center"/>
    </xf>
    <xf numFmtId="3" fontId="3" fillId="3" borderId="0" xfId="1" applyNumberFormat="1" applyFont="1" applyFill="1"/>
    <xf numFmtId="0" fontId="3" fillId="4" borderId="0" xfId="1" applyFont="1" applyFill="1"/>
    <xf numFmtId="0" fontId="14" fillId="4" borderId="0" xfId="1" applyFont="1" applyFill="1"/>
    <xf numFmtId="3" fontId="3" fillId="4" borderId="0" xfId="1" applyNumberFormat="1" applyFont="1" applyFill="1"/>
    <xf numFmtId="0" fontId="14" fillId="4" borderId="0" xfId="1" applyFont="1" applyFill="1" applyAlignment="1">
      <alignment horizontal="center"/>
    </xf>
    <xf numFmtId="0" fontId="19" fillId="0" borderId="0" xfId="2" applyFont="1" applyAlignment="1">
      <alignment wrapText="1"/>
    </xf>
    <xf numFmtId="0" fontId="19" fillId="0" borderId="0" xfId="2" applyFont="1" applyAlignment="1">
      <alignment horizontal="center" wrapText="1"/>
    </xf>
    <xf numFmtId="0" fontId="7" fillId="0" borderId="0" xfId="1" applyFont="1" applyFill="1"/>
    <xf numFmtId="0" fontId="3" fillId="2" borderId="0" xfId="1" applyFont="1" applyFill="1"/>
    <xf numFmtId="0" fontId="16" fillId="2" borderId="0" xfId="2" applyFont="1" applyFill="1"/>
    <xf numFmtId="0" fontId="19" fillId="4" borderId="0" xfId="2" applyFont="1" applyFill="1" applyAlignment="1">
      <alignment horizontal="right"/>
    </xf>
    <xf numFmtId="0" fontId="17" fillId="4" borderId="0" xfId="2" applyFont="1" applyFill="1"/>
    <xf numFmtId="0" fontId="16" fillId="2" borderId="0" xfId="2" applyFont="1" applyFill="1" applyAlignment="1">
      <alignment wrapText="1"/>
    </xf>
    <xf numFmtId="0" fontId="15" fillId="2" borderId="0" xfId="2" applyFont="1" applyFill="1"/>
    <xf numFmtId="0" fontId="7" fillId="2" borderId="0" xfId="1" applyFont="1" applyFill="1"/>
    <xf numFmtId="0" fontId="2" fillId="2" borderId="0" xfId="1" applyFill="1" applyAlignment="1">
      <alignment horizontal="left" indent="1"/>
    </xf>
    <xf numFmtId="3" fontId="7" fillId="3" borderId="0" xfId="1" applyNumberFormat="1" applyFont="1" applyFill="1"/>
    <xf numFmtId="1" fontId="7" fillId="3" borderId="0" xfId="1" applyNumberFormat="1" applyFont="1" applyFill="1"/>
    <xf numFmtId="3" fontId="2" fillId="3" borderId="0" xfId="1" applyNumberFormat="1" applyFill="1"/>
  </cellXfs>
  <cellStyles count="5">
    <cellStyle name="Normal" xfId="0" builtinId="0"/>
    <cellStyle name="Normal 2" xfId="1" xr:uid="{01096319-8B4E-D944-9EE0-9045256C1516}"/>
    <cellStyle name="Normal 2 2" xfId="2" xr:uid="{F7D93323-E096-3948-BEE9-A8DC58D06B73}"/>
    <cellStyle name="Percent 2" xfId="3" xr:uid="{E62C6FC4-208E-1649-A423-590A75B184B8}"/>
    <cellStyle name="Percent 2 2" xfId="4" xr:uid="{DFE27E8D-1C6E-EF4D-BFE9-C5A66E8A1D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190500</xdr:rowOff>
    </xdr:from>
    <xdr:ext cx="4152900" cy="2476500"/>
    <xdr:pic>
      <xdr:nvPicPr>
        <xdr:cNvPr id="2" name="Picture 1" descr="Apple Logo and symbol, meaning, history ...">
          <a:extLst>
            <a:ext uri="{FF2B5EF4-FFF2-40B4-BE49-F238E27FC236}">
              <a16:creationId xmlns:a16="http://schemas.microsoft.com/office/drawing/2014/main" id="{DB498888-72AA-CD49-9C1E-8CA08AF24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81000"/>
          <a:ext cx="4152900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18</xdr:row>
      <xdr:rowOff>88900</xdr:rowOff>
    </xdr:from>
    <xdr:to>
      <xdr:col>18</xdr:col>
      <xdr:colOff>673100</xdr:colOff>
      <xdr:row>61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55B813-5B29-BBE0-A852-F9F938F1A63E}"/>
            </a:ext>
          </a:extLst>
        </xdr:cNvPr>
        <xdr:cNvSpPr txBox="1"/>
      </xdr:nvSpPr>
      <xdr:spPr>
        <a:xfrm>
          <a:off x="0" y="3708400"/>
          <a:ext cx="15532100" cy="81788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600" b="1"/>
            <a:t>Overview:</a:t>
          </a:r>
        </a:p>
        <a:p>
          <a:r>
            <a:rPr lang="en-CA" sz="1600" b="0"/>
            <a:t>This project presents a fully integrated financial model and discounted cash flow (DCF) valuation of Apple Inc. using real financial data from its 2024 Form 10-K.</a:t>
          </a:r>
          <a:r>
            <a:rPr lang="en-CA" sz="1600" b="0" baseline="0"/>
            <a:t> </a:t>
          </a:r>
          <a:r>
            <a:rPr lang="en-CA" sz="1600" b="0"/>
            <a:t>The model forecasts operating performance, calculates free cash flow (FCF), and estimates intrinsic equity value using a two-stage DCF approach.</a:t>
          </a:r>
        </a:p>
        <a:p>
          <a:endParaRPr lang="en-CA" sz="1600" b="0"/>
        </a:p>
        <a:p>
          <a:r>
            <a:rPr lang="en-CA" sz="1600" b="1"/>
            <a:t>Objective:</a:t>
          </a:r>
          <a:br>
            <a:rPr lang="en-CA" sz="1600" b="0"/>
          </a:br>
          <a:r>
            <a:rPr lang="en-CA" sz="1600"/>
            <a:t>The goal of this project is to:</a:t>
          </a:r>
        </a:p>
        <a:p>
          <a:r>
            <a:rPr lang="en-CA" sz="1600"/>
            <a:t>- Build a professional financial model from real company data</a:t>
          </a:r>
        </a:p>
        <a:p>
          <a:r>
            <a:rPr lang="en-CA" sz="1600"/>
            <a:t>- Apply valuation techniques used in investment banking and private equity</a:t>
          </a:r>
        </a:p>
        <a:p>
          <a:r>
            <a:rPr lang="en-CA" sz="1600"/>
            <a:t>- Estimate Apple’s intrinsic share price and compare it to market valuation</a:t>
          </a:r>
        </a:p>
        <a:p>
          <a:r>
            <a:rPr lang="en-CA" sz="1600"/>
            <a:t>Financial modeling is commonly used to forecast performance and support valuation-based decision-making Financial Modeling.</a:t>
          </a:r>
        </a:p>
        <a:p>
          <a:endParaRPr lang="en-CA" sz="1600" b="1"/>
        </a:p>
        <a:p>
          <a:r>
            <a:rPr lang="en-CA" sz="1600" b="1"/>
            <a:t>Key Assumptions &amp; Reasoning</a:t>
          </a:r>
        </a:p>
        <a:p>
          <a:r>
            <a:rPr lang="en-CA" sz="1600"/>
            <a:t>1. The base case </a:t>
          </a:r>
          <a:r>
            <a:rPr lang="en-CA" sz="1600" b="1"/>
            <a:t>WACC</a:t>
          </a:r>
          <a:r>
            <a:rPr lang="en-CA" sz="1600"/>
            <a:t> of 8.0% reflects a realistic estimate of Apple’s cost of capital.</a:t>
          </a:r>
          <a:r>
            <a:rPr lang="en-CA" sz="1600" baseline="0"/>
            <a:t> </a:t>
          </a:r>
          <a:r>
            <a:rPr lang="en-CA" sz="1600"/>
            <a:t>Apple’s WACC is commonly estimated in the </a:t>
          </a:r>
          <a:r>
            <a:rPr lang="en-CA" sz="1600" b="1"/>
            <a:t>~7–9% range</a:t>
          </a:r>
          <a:r>
            <a:rPr lang="en-CA" sz="1600"/>
            <a:t> in practice</a:t>
          </a:r>
        </a:p>
        <a:p>
          <a:r>
            <a:rPr lang="en-CA" sz="1600"/>
            <a:t>2. The </a:t>
          </a:r>
          <a:r>
            <a:rPr lang="en-CA" sz="1600" b="1"/>
            <a:t>terminal</a:t>
          </a:r>
          <a:r>
            <a:rPr lang="en-CA" sz="1600"/>
            <a:t> </a:t>
          </a:r>
          <a:r>
            <a:rPr lang="en-CA" sz="1600" b="1"/>
            <a:t>growth </a:t>
          </a:r>
          <a:r>
            <a:rPr lang="en-CA" sz="1600"/>
            <a:t>rate represents long-term perpetual growth.</a:t>
          </a:r>
          <a:r>
            <a:rPr lang="en-CA" sz="1600" baseline="0"/>
            <a:t> </a:t>
          </a:r>
          <a:r>
            <a:rPr lang="en-CA" sz="1600"/>
            <a:t>Typical DCF models use </a:t>
          </a:r>
          <a:r>
            <a:rPr lang="en-CA" sz="1600" b="1"/>
            <a:t>~2–4%</a:t>
          </a:r>
          <a:r>
            <a:rPr lang="en-CA" sz="1600"/>
            <a:t>, aligned with long-term GDP growth</a:t>
          </a:r>
          <a:r>
            <a:rPr lang="en-CA" sz="1600" baseline="0"/>
            <a:t>. </a:t>
          </a:r>
          <a:r>
            <a:rPr lang="en-CA" sz="1600"/>
            <a:t>However, some Apple valuations use </a:t>
          </a:r>
          <a:r>
            <a:rPr lang="en-CA" sz="1600" b="1"/>
            <a:t>3–5% ranges</a:t>
          </a:r>
          <a:r>
            <a:rPr lang="en-CA" sz="1600"/>
            <a:t> depending on assumptions.</a:t>
          </a:r>
          <a:r>
            <a:rPr lang="en-CA" sz="1600" baseline="0"/>
            <a:t> I choose on the higher end to reflect Apples string ecosystem and long term innnovation potential. </a:t>
          </a:r>
        </a:p>
        <a:p>
          <a:r>
            <a:rPr lang="en-CA" sz="1600" b="0" baseline="0"/>
            <a:t>3. </a:t>
          </a:r>
          <a:r>
            <a:rPr lang="en-CA" sz="1600" b="1"/>
            <a:t>Revenue</a:t>
          </a:r>
          <a:r>
            <a:rPr lang="en-CA" sz="1600" b="0"/>
            <a:t> was projected to grow at approximately 5% annually.</a:t>
          </a:r>
          <a:r>
            <a:rPr lang="en-CA" sz="1600" b="0" baseline="0"/>
            <a:t> </a:t>
          </a:r>
          <a:r>
            <a:rPr lang="en-CA" sz="1600" b="0"/>
            <a:t>Apple historically exhibits low-to-mid single digit growth as a mature company</a:t>
          </a:r>
        </a:p>
        <a:p>
          <a:r>
            <a:rPr lang="en-CA" sz="1600" b="0"/>
            <a:t>4. </a:t>
          </a:r>
          <a:r>
            <a:rPr lang="en-CA" sz="1600" b="1"/>
            <a:t>Tax Rate </a:t>
          </a:r>
          <a:r>
            <a:rPr lang="en-CA" sz="1600" b="0"/>
            <a:t>— 24.1%</a:t>
          </a:r>
          <a:r>
            <a:rPr lang="en-CA" sz="1600" b="0" baseline="0"/>
            <a:t> </a:t>
          </a:r>
          <a:r>
            <a:rPr lang="en-CA" sz="1600" b="0"/>
            <a:t>The tax rate is based directly on Apple’s effective tax rate from 2024 financials.</a:t>
          </a:r>
        </a:p>
        <a:p>
          <a:endParaRPr lang="en-CA" sz="1600"/>
        </a:p>
        <a:p>
          <a:r>
            <a:rPr lang="en-CA" sz="1600" b="1" u="sng"/>
            <a:t>Results:</a:t>
          </a:r>
        </a:p>
        <a:p>
          <a:r>
            <a:rPr lang="en-CA" sz="1600" b="1"/>
            <a:t>Intrinsic Value per Share:</a:t>
          </a:r>
          <a:r>
            <a:rPr lang="en-CA" sz="1600"/>
            <a:t> ~$184</a:t>
          </a:r>
        </a:p>
        <a:p>
          <a:r>
            <a:rPr lang="en-CA" sz="1600" b="1"/>
            <a:t>Market Price Range (2024):</a:t>
          </a:r>
          <a:r>
            <a:rPr lang="en-CA" sz="1600"/>
            <a:t> ~$165 – $258</a:t>
          </a:r>
        </a:p>
        <a:p>
          <a:endParaRPr lang="en-CA" sz="1600"/>
        </a:p>
        <a:p>
          <a:r>
            <a:rPr lang="en-CA" sz="1600" b="1" u="sng"/>
            <a:t>Use:</a:t>
          </a:r>
        </a:p>
        <a:p>
          <a:r>
            <a:rPr lang="en-CA" sz="1600"/>
            <a:t>Open the Excel model</a:t>
          </a:r>
        </a:p>
        <a:p>
          <a:r>
            <a:rPr lang="en-CA" sz="1600"/>
            <a:t>2.</a:t>
          </a:r>
          <a:r>
            <a:rPr lang="en-CA" sz="1600" baseline="0"/>
            <a:t> </a:t>
          </a:r>
          <a:r>
            <a:rPr lang="en-CA" sz="1600"/>
            <a:t>Navigate to the </a:t>
          </a:r>
          <a:r>
            <a:rPr lang="en-CA" sz="1600" b="1"/>
            <a:t>Scenario Selection dropdown</a:t>
          </a:r>
          <a:endParaRPr lang="en-CA" sz="1600"/>
        </a:p>
        <a:p>
          <a:r>
            <a:rPr lang="en-CA" sz="1600"/>
            <a:t>3. Choose:</a:t>
          </a:r>
        </a:p>
        <a:p>
          <a:r>
            <a:rPr lang="en-CA" sz="1600"/>
            <a:t>	Base</a:t>
          </a:r>
        </a:p>
        <a:p>
          <a:r>
            <a:rPr lang="en-CA" sz="1600"/>
            <a:t>	Bull</a:t>
          </a:r>
        </a:p>
        <a:p>
          <a:r>
            <a:rPr lang="en-CA" sz="1600"/>
            <a:t>	Bear</a:t>
          </a:r>
        </a:p>
        <a:p>
          <a:r>
            <a:rPr lang="en-CA" sz="1600"/>
            <a:t>4. View how valuation changes dynamically</a:t>
          </a:r>
        </a:p>
        <a:p>
          <a:endParaRPr lang="en-CA" sz="1600"/>
        </a:p>
        <a:p>
          <a:endParaRPr lang="en-CA" sz="1600" baseline="0"/>
        </a:p>
        <a:p>
          <a:endParaRPr lang="en-CA" sz="1600"/>
        </a:p>
        <a:p>
          <a:endParaRPr lang="en-CA" sz="1600"/>
        </a:p>
        <a:p>
          <a:endParaRPr lang="en-CA" sz="1600"/>
        </a:p>
        <a:p>
          <a:endParaRPr lang="en-CA" sz="1600" b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2298-0931-BF42-9EF9-EAE4A925112B}">
  <dimension ref="C16:G21"/>
  <sheetViews>
    <sheetView showGridLines="0" tabSelected="1" topLeftCell="A10" workbookViewId="0">
      <selection activeCell="K16" sqref="K15:K16"/>
    </sheetView>
  </sheetViews>
  <sheetFormatPr baseColWidth="10" defaultRowHeight="15" x14ac:dyDescent="0.2"/>
  <cols>
    <col min="1" max="16384" width="10.83203125" style="1"/>
  </cols>
  <sheetData>
    <row r="16" spans="3:7" s="1" customFormat="1" ht="22" x14ac:dyDescent="0.3">
      <c r="C16" s="3" t="s">
        <v>2</v>
      </c>
      <c r="D16" s="3"/>
      <c r="E16" s="3"/>
      <c r="F16" s="3"/>
      <c r="G16" s="3"/>
    </row>
    <row r="17" spans="3:7" s="1" customFormat="1" ht="19" x14ac:dyDescent="0.25">
      <c r="C17" s="2" t="s">
        <v>1</v>
      </c>
      <c r="D17" s="2"/>
      <c r="E17" s="2"/>
      <c r="F17" s="2"/>
      <c r="G17" s="2"/>
    </row>
    <row r="18" spans="3:7" s="1" customFormat="1" ht="19" x14ac:dyDescent="0.25">
      <c r="C18" s="2" t="s">
        <v>0</v>
      </c>
      <c r="D18" s="2"/>
      <c r="E18" s="2"/>
      <c r="F18" s="2"/>
      <c r="G18" s="2"/>
    </row>
    <row r="21" spans="3:7" s="1" customFormat="1" x14ac:dyDescent="0.2"/>
  </sheetData>
  <mergeCells count="3">
    <mergeCell ref="C16:G16"/>
    <mergeCell ref="C17:G17"/>
    <mergeCell ref="C18:G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05DB-F942-3C4A-B450-8ABF51ACFBD8}">
  <dimension ref="A1:F40"/>
  <sheetViews>
    <sheetView showGridLines="0" zoomScale="165" workbookViewId="0">
      <selection activeCell="C19" sqref="C19"/>
    </sheetView>
  </sheetViews>
  <sheetFormatPr baseColWidth="10" defaultRowHeight="15" x14ac:dyDescent="0.2"/>
  <cols>
    <col min="1" max="1" width="27.83203125" style="1" bestFit="1" customWidth="1"/>
    <col min="2" max="2" width="13" style="1" bestFit="1" customWidth="1"/>
    <col min="3" max="3" width="10.83203125" style="1"/>
    <col min="4" max="4" width="29.6640625" style="1" bestFit="1" customWidth="1"/>
    <col min="5" max="16384" width="10.83203125" style="1"/>
  </cols>
  <sheetData>
    <row r="1" spans="1:6" x14ac:dyDescent="0.2">
      <c r="A1" s="7" t="s">
        <v>42</v>
      </c>
      <c r="B1" s="7"/>
      <c r="D1" s="8" t="s">
        <v>41</v>
      </c>
      <c r="E1" s="8"/>
    </row>
    <row r="2" spans="1:6" x14ac:dyDescent="0.2">
      <c r="A2" s="6" t="s">
        <v>25</v>
      </c>
      <c r="B2" s="6">
        <v>2024</v>
      </c>
      <c r="D2" s="53" t="s">
        <v>40</v>
      </c>
      <c r="E2" s="57">
        <v>15408</v>
      </c>
    </row>
    <row r="3" spans="1:6" x14ac:dyDescent="0.2">
      <c r="A3" s="53" t="s">
        <v>39</v>
      </c>
      <c r="B3" s="55">
        <v>391035</v>
      </c>
      <c r="D3" s="53" t="s">
        <v>38</v>
      </c>
      <c r="E3" s="4">
        <v>0.98</v>
      </c>
    </row>
    <row r="4" spans="1:6" x14ac:dyDescent="0.2">
      <c r="A4" s="53" t="s">
        <v>37</v>
      </c>
      <c r="B4" s="55">
        <v>256374</v>
      </c>
      <c r="D4" s="53" t="s">
        <v>36</v>
      </c>
      <c r="E4" s="22">
        <v>0.24099999999999999</v>
      </c>
    </row>
    <row r="5" spans="1:6" x14ac:dyDescent="0.2">
      <c r="A5" s="53" t="s">
        <v>35</v>
      </c>
      <c r="B5" s="55">
        <v>11445</v>
      </c>
      <c r="D5" s="53" t="s">
        <v>34</v>
      </c>
      <c r="E5" s="16">
        <f>_xlfn.XLOOKUP(TRIM(SP!E58),SP!E55:E57,SP!F55:F57)</f>
        <v>0.08</v>
      </c>
      <c r="F5" s="1" t="s">
        <v>33</v>
      </c>
    </row>
    <row r="6" spans="1:6" x14ac:dyDescent="0.2">
      <c r="A6" s="53" t="s">
        <v>32</v>
      </c>
      <c r="B6" s="55">
        <f>B4+B5</f>
        <v>267819</v>
      </c>
    </row>
    <row r="7" spans="1:6" x14ac:dyDescent="0.2">
      <c r="A7" s="53" t="s">
        <v>31</v>
      </c>
      <c r="B7" s="55">
        <f>B3-B6</f>
        <v>123216</v>
      </c>
      <c r="D7" s="46"/>
    </row>
    <row r="8" spans="1:6" x14ac:dyDescent="0.2">
      <c r="A8" s="53" t="s">
        <v>30</v>
      </c>
      <c r="B8" s="55">
        <f>B9-B7</f>
        <v>269</v>
      </c>
      <c r="D8" s="46"/>
    </row>
    <row r="9" spans="1:6" x14ac:dyDescent="0.2">
      <c r="A9" s="53" t="s">
        <v>29</v>
      </c>
      <c r="B9" s="55">
        <v>123485</v>
      </c>
      <c r="D9" s="46"/>
    </row>
    <row r="10" spans="1:6" x14ac:dyDescent="0.2">
      <c r="A10" s="53" t="s">
        <v>28</v>
      </c>
      <c r="B10" s="56">
        <f>B9*24.1%</f>
        <v>29759.885000000002</v>
      </c>
      <c r="D10" s="46"/>
    </row>
    <row r="11" spans="1:6" x14ac:dyDescent="0.2">
      <c r="A11" s="53" t="s">
        <v>27</v>
      </c>
      <c r="B11" s="55">
        <f>B9-B10</f>
        <v>93725.114999999991</v>
      </c>
    </row>
    <row r="13" spans="1:6" x14ac:dyDescent="0.2">
      <c r="A13" s="7" t="s">
        <v>26</v>
      </c>
      <c r="B13" s="7"/>
    </row>
    <row r="14" spans="1:6" x14ac:dyDescent="0.2">
      <c r="A14" s="6" t="s">
        <v>25</v>
      </c>
      <c r="B14" s="6">
        <v>2024</v>
      </c>
    </row>
    <row r="15" spans="1:6" x14ac:dyDescent="0.2">
      <c r="A15" s="54" t="s">
        <v>24</v>
      </c>
      <c r="B15" s="57">
        <v>29943</v>
      </c>
    </row>
    <row r="16" spans="1:6" x14ac:dyDescent="0.2">
      <c r="A16" s="54" t="s">
        <v>17</v>
      </c>
      <c r="B16" s="57">
        <v>35228</v>
      </c>
    </row>
    <row r="17" spans="1:2" x14ac:dyDescent="0.2">
      <c r="A17" s="54" t="s">
        <v>23</v>
      </c>
      <c r="B17" s="57">
        <v>33410</v>
      </c>
    </row>
    <row r="18" spans="1:2" x14ac:dyDescent="0.2">
      <c r="A18" s="54" t="s">
        <v>22</v>
      </c>
      <c r="B18" s="57">
        <v>32833</v>
      </c>
    </row>
    <row r="19" spans="1:2" x14ac:dyDescent="0.2">
      <c r="A19" s="54" t="s">
        <v>21</v>
      </c>
      <c r="B19" s="57">
        <v>7286</v>
      </c>
    </row>
    <row r="20" spans="1:2" x14ac:dyDescent="0.2">
      <c r="A20" s="54" t="s">
        <v>20</v>
      </c>
      <c r="B20" s="57">
        <v>14287</v>
      </c>
    </row>
    <row r="21" spans="1:2" x14ac:dyDescent="0.2">
      <c r="A21" s="5" t="s">
        <v>19</v>
      </c>
      <c r="B21" s="57">
        <f>SUM(B15:B20)</f>
        <v>152987</v>
      </c>
    </row>
    <row r="22" spans="1:2" x14ac:dyDescent="0.2">
      <c r="A22" s="54" t="s">
        <v>18</v>
      </c>
      <c r="B22" s="57">
        <v>45680</v>
      </c>
    </row>
    <row r="23" spans="1:2" x14ac:dyDescent="0.2">
      <c r="A23" s="54" t="s">
        <v>17</v>
      </c>
      <c r="B23" s="57">
        <v>91479</v>
      </c>
    </row>
    <row r="24" spans="1:2" x14ac:dyDescent="0.2">
      <c r="A24" s="54" t="s">
        <v>16</v>
      </c>
      <c r="B24" s="57">
        <v>74834</v>
      </c>
    </row>
    <row r="25" spans="1:2" x14ac:dyDescent="0.2">
      <c r="A25" s="5" t="s">
        <v>15</v>
      </c>
      <c r="B25" s="57">
        <f>B21+SUM(B22:B24)</f>
        <v>364980</v>
      </c>
    </row>
    <row r="26" spans="1:2" x14ac:dyDescent="0.2">
      <c r="A26" s="5"/>
      <c r="B26" s="4"/>
    </row>
    <row r="27" spans="1:2" x14ac:dyDescent="0.2">
      <c r="A27" s="5" t="s">
        <v>14</v>
      </c>
      <c r="B27" s="4"/>
    </row>
    <row r="28" spans="1:2" x14ac:dyDescent="0.2">
      <c r="A28" s="54" t="s">
        <v>13</v>
      </c>
      <c r="B28" s="57">
        <v>68960</v>
      </c>
    </row>
    <row r="29" spans="1:2" x14ac:dyDescent="0.2">
      <c r="A29" s="54" t="s">
        <v>12</v>
      </c>
      <c r="B29" s="57">
        <v>78304</v>
      </c>
    </row>
    <row r="30" spans="1:2" x14ac:dyDescent="0.2">
      <c r="A30" s="54" t="s">
        <v>11</v>
      </c>
      <c r="B30" s="57">
        <v>8249</v>
      </c>
    </row>
    <row r="31" spans="1:2" x14ac:dyDescent="0.2">
      <c r="A31" s="54" t="s">
        <v>10</v>
      </c>
      <c r="B31" s="57">
        <v>9967</v>
      </c>
    </row>
    <row r="32" spans="1:2" x14ac:dyDescent="0.2">
      <c r="A32" s="54" t="s">
        <v>7</v>
      </c>
      <c r="B32" s="57">
        <v>10912</v>
      </c>
    </row>
    <row r="33" spans="1:2" x14ac:dyDescent="0.2">
      <c r="A33" s="5" t="s">
        <v>9</v>
      </c>
      <c r="B33" s="57">
        <f>SUM(B28:B32)</f>
        <v>176392</v>
      </c>
    </row>
    <row r="34" spans="1:2" x14ac:dyDescent="0.2">
      <c r="A34" s="5" t="s">
        <v>8</v>
      </c>
      <c r="B34" s="4"/>
    </row>
    <row r="35" spans="1:2" x14ac:dyDescent="0.2">
      <c r="A35" s="54" t="s">
        <v>7</v>
      </c>
      <c r="B35" s="57">
        <v>85750</v>
      </c>
    </row>
    <row r="36" spans="1:2" x14ac:dyDescent="0.2">
      <c r="A36" s="54" t="s">
        <v>6</v>
      </c>
      <c r="B36" s="57">
        <v>45888</v>
      </c>
    </row>
    <row r="37" spans="1:2" x14ac:dyDescent="0.2">
      <c r="A37" s="5" t="s">
        <v>5</v>
      </c>
      <c r="B37" s="57">
        <f>B33+SUM(B35:B36)</f>
        <v>308030</v>
      </c>
    </row>
    <row r="38" spans="1:2" x14ac:dyDescent="0.2">
      <c r="A38" s="5"/>
      <c r="B38" s="4"/>
    </row>
    <row r="39" spans="1:2" x14ac:dyDescent="0.2">
      <c r="A39" s="5" t="s">
        <v>4</v>
      </c>
      <c r="B39" s="57">
        <v>56950</v>
      </c>
    </row>
    <row r="40" spans="1:2" x14ac:dyDescent="0.2">
      <c r="A40" s="5" t="s">
        <v>3</v>
      </c>
      <c r="B40" s="57">
        <f>B39+B37</f>
        <v>364980</v>
      </c>
    </row>
  </sheetData>
  <mergeCells count="3">
    <mergeCell ref="A1:B1"/>
    <mergeCell ref="D1:E1"/>
    <mergeCell ref="A13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3D1C-BF04-CF42-9F0E-88AC25465419}">
  <dimension ref="A1:G60"/>
  <sheetViews>
    <sheetView showGridLines="0" topLeftCell="A20" workbookViewId="0">
      <selection activeCell="B67" sqref="B67"/>
    </sheetView>
  </sheetViews>
  <sheetFormatPr baseColWidth="10" defaultRowHeight="19" x14ac:dyDescent="0.25"/>
  <cols>
    <col min="1" max="1" width="36.1640625" style="9" customWidth="1"/>
    <col min="2" max="2" width="19.1640625" style="9" bestFit="1" customWidth="1"/>
    <col min="3" max="4" width="11.83203125" style="9" bestFit="1" customWidth="1"/>
    <col min="5" max="5" width="12.83203125" style="9" bestFit="1" customWidth="1"/>
    <col min="6" max="6" width="14" style="9" bestFit="1" customWidth="1"/>
    <col min="7" max="16384" width="10.83203125" style="1"/>
  </cols>
  <sheetData>
    <row r="1" spans="1:7" x14ac:dyDescent="0.25">
      <c r="A1" s="45"/>
      <c r="B1" s="45"/>
      <c r="C1" s="45"/>
      <c r="D1" s="45"/>
      <c r="E1" s="44"/>
      <c r="F1" s="44"/>
    </row>
    <row r="2" spans="1:7" x14ac:dyDescent="0.25">
      <c r="A2" s="43" t="s">
        <v>82</v>
      </c>
      <c r="B2" s="42" t="s">
        <v>56</v>
      </c>
      <c r="C2" s="40" t="s">
        <v>77</v>
      </c>
      <c r="D2" s="40" t="s">
        <v>77</v>
      </c>
      <c r="E2" s="40" t="s">
        <v>77</v>
      </c>
      <c r="F2" s="40" t="s">
        <v>77</v>
      </c>
    </row>
    <row r="3" spans="1:7" x14ac:dyDescent="0.25">
      <c r="A3" s="43"/>
      <c r="B3" s="42">
        <v>2024</v>
      </c>
      <c r="C3" s="40">
        <v>2025</v>
      </c>
      <c r="D3" s="40">
        <v>2026</v>
      </c>
      <c r="E3" s="40">
        <v>2027</v>
      </c>
      <c r="F3" s="40">
        <v>2028</v>
      </c>
    </row>
    <row r="4" spans="1:7" x14ac:dyDescent="0.25">
      <c r="A4" s="47" t="s">
        <v>39</v>
      </c>
      <c r="B4" s="39">
        <v>391035</v>
      </c>
      <c r="C4" s="39">
        <v>410587</v>
      </c>
      <c r="D4" s="39">
        <v>431116</v>
      </c>
      <c r="E4" s="39">
        <v>452672</v>
      </c>
      <c r="F4" s="39">
        <v>475306</v>
      </c>
      <c r="G4" s="1" t="s">
        <v>88</v>
      </c>
    </row>
    <row r="5" spans="1:7" x14ac:dyDescent="0.25">
      <c r="A5" s="47" t="s">
        <v>87</v>
      </c>
      <c r="B5" s="39">
        <v>256374</v>
      </c>
      <c r="C5" s="39">
        <v>269193</v>
      </c>
      <c r="D5" s="39">
        <v>282653</v>
      </c>
      <c r="E5" s="39">
        <v>296786</v>
      </c>
      <c r="F5" s="39">
        <v>311625</v>
      </c>
    </row>
    <row r="6" spans="1:7" x14ac:dyDescent="0.25">
      <c r="A6" s="47" t="s">
        <v>86</v>
      </c>
      <c r="B6" s="39">
        <v>11445</v>
      </c>
      <c r="C6" s="39">
        <v>12318</v>
      </c>
      <c r="D6" s="39">
        <v>12933</v>
      </c>
      <c r="E6" s="39">
        <v>13580</v>
      </c>
      <c r="F6" s="39">
        <v>14259</v>
      </c>
      <c r="G6" s="1" t="s">
        <v>85</v>
      </c>
    </row>
    <row r="7" spans="1:7" x14ac:dyDescent="0.25">
      <c r="A7" s="47" t="s">
        <v>84</v>
      </c>
      <c r="B7" s="39">
        <v>267819</v>
      </c>
      <c r="C7" s="39">
        <v>281511</v>
      </c>
      <c r="D7" s="39">
        <v>295586</v>
      </c>
      <c r="E7" s="39">
        <v>310366</v>
      </c>
      <c r="F7" s="39">
        <v>325884</v>
      </c>
    </row>
    <row r="8" spans="1:7" x14ac:dyDescent="0.25">
      <c r="A8" s="47" t="s">
        <v>83</v>
      </c>
      <c r="B8" s="39">
        <v>123216</v>
      </c>
      <c r="C8" s="39">
        <v>129076</v>
      </c>
      <c r="D8" s="39">
        <v>135530</v>
      </c>
      <c r="E8" s="39">
        <v>142306</v>
      </c>
      <c r="F8" s="39">
        <v>149422</v>
      </c>
    </row>
    <row r="11" spans="1:7" x14ac:dyDescent="0.25">
      <c r="A11" s="41" t="s">
        <v>82</v>
      </c>
      <c r="B11" s="40" t="s">
        <v>56</v>
      </c>
      <c r="C11" s="40" t="s">
        <v>77</v>
      </c>
      <c r="D11" s="40" t="s">
        <v>77</v>
      </c>
      <c r="E11" s="40" t="s">
        <v>77</v>
      </c>
      <c r="F11" s="40" t="s">
        <v>77</v>
      </c>
    </row>
    <row r="12" spans="1:7" x14ac:dyDescent="0.25">
      <c r="A12" s="47" t="s">
        <v>81</v>
      </c>
      <c r="B12" s="27">
        <v>2024</v>
      </c>
      <c r="C12" s="27">
        <v>2025</v>
      </c>
      <c r="D12" s="27">
        <v>2026</v>
      </c>
      <c r="E12" s="27">
        <v>2027</v>
      </c>
      <c r="F12" s="27">
        <v>2028</v>
      </c>
    </row>
    <row r="13" spans="1:7" x14ac:dyDescent="0.25">
      <c r="A13" s="47" t="s">
        <v>80</v>
      </c>
      <c r="B13" s="39">
        <v>33410</v>
      </c>
      <c r="C13" s="39">
        <v>35096</v>
      </c>
      <c r="D13" s="39">
        <v>36851</v>
      </c>
      <c r="E13" s="39">
        <v>38694</v>
      </c>
      <c r="F13" s="39">
        <v>40629</v>
      </c>
    </row>
    <row r="14" spans="1:7" x14ac:dyDescent="0.25">
      <c r="A14" s="47" t="s">
        <v>79</v>
      </c>
      <c r="B14" s="39">
        <v>32833</v>
      </c>
      <c r="C14" s="39">
        <v>34474</v>
      </c>
      <c r="D14" s="39">
        <v>36198</v>
      </c>
      <c r="E14" s="39">
        <v>38008</v>
      </c>
      <c r="F14" s="39">
        <v>39908</v>
      </c>
    </row>
    <row r="15" spans="1:7" x14ac:dyDescent="0.25">
      <c r="A15" s="47" t="s">
        <v>21</v>
      </c>
      <c r="B15" s="39">
        <v>7286</v>
      </c>
      <c r="C15" s="39">
        <v>7800</v>
      </c>
      <c r="D15" s="39">
        <v>8190</v>
      </c>
      <c r="E15" s="39">
        <v>8600</v>
      </c>
      <c r="F15" s="39">
        <v>9030</v>
      </c>
    </row>
    <row r="16" spans="1:7" x14ac:dyDescent="0.25">
      <c r="A16" s="47" t="s">
        <v>78</v>
      </c>
      <c r="B16" s="39">
        <v>45680</v>
      </c>
      <c r="C16" s="39">
        <v>48762</v>
      </c>
      <c r="D16" s="39">
        <v>51200</v>
      </c>
      <c r="E16" s="39">
        <v>53760</v>
      </c>
      <c r="F16" s="39">
        <v>56448</v>
      </c>
    </row>
    <row r="18" spans="1:6" x14ac:dyDescent="0.25">
      <c r="A18" s="41" t="s">
        <v>76</v>
      </c>
      <c r="B18" s="40" t="s">
        <v>56</v>
      </c>
      <c r="C18" s="40" t="s">
        <v>77</v>
      </c>
      <c r="D18" s="40" t="s">
        <v>77</v>
      </c>
      <c r="E18" s="40" t="s">
        <v>77</v>
      </c>
      <c r="F18" s="40" t="s">
        <v>77</v>
      </c>
    </row>
    <row r="19" spans="1:6" x14ac:dyDescent="0.25">
      <c r="A19" s="47" t="s">
        <v>76</v>
      </c>
      <c r="B19" s="27">
        <v>2024</v>
      </c>
      <c r="C19" s="27">
        <v>2025</v>
      </c>
      <c r="D19" s="27">
        <v>2026</v>
      </c>
      <c r="E19" s="27">
        <v>2027</v>
      </c>
      <c r="F19" s="27">
        <v>2028</v>
      </c>
    </row>
    <row r="20" spans="1:6" x14ac:dyDescent="0.25">
      <c r="A20" s="47" t="s">
        <v>13</v>
      </c>
      <c r="B20" s="39">
        <v>68960</v>
      </c>
      <c r="C20" s="39">
        <v>72851</v>
      </c>
      <c r="D20" s="39">
        <v>76493</v>
      </c>
      <c r="E20" s="39">
        <v>80318</v>
      </c>
      <c r="F20" s="39">
        <v>84334</v>
      </c>
    </row>
    <row r="21" spans="1:6" x14ac:dyDescent="0.25">
      <c r="A21" s="47" t="s">
        <v>75</v>
      </c>
      <c r="B21" s="39">
        <v>78304</v>
      </c>
      <c r="C21" s="39">
        <v>82219</v>
      </c>
      <c r="D21" s="39">
        <v>86330</v>
      </c>
      <c r="E21" s="39">
        <v>90646</v>
      </c>
      <c r="F21" s="39">
        <v>95178</v>
      </c>
    </row>
    <row r="22" spans="1:6" x14ac:dyDescent="0.25">
      <c r="A22" s="47" t="s">
        <v>74</v>
      </c>
      <c r="B22" s="39">
        <v>8249</v>
      </c>
      <c r="C22" s="39">
        <v>8662</v>
      </c>
      <c r="D22" s="39">
        <v>9095</v>
      </c>
      <c r="E22" s="39">
        <v>9550</v>
      </c>
      <c r="F22" s="39">
        <v>10028</v>
      </c>
    </row>
    <row r="25" spans="1:6" x14ac:dyDescent="0.25">
      <c r="A25" s="38" t="s">
        <v>73</v>
      </c>
      <c r="B25" s="49" t="str">
        <f>B11</f>
        <v>Actual</v>
      </c>
      <c r="C25" s="49" t="str">
        <f>C11</f>
        <v>Projected</v>
      </c>
      <c r="D25" s="49" t="str">
        <f>D11</f>
        <v>Projected</v>
      </c>
      <c r="E25" s="49" t="str">
        <f>E11</f>
        <v>Projected</v>
      </c>
      <c r="F25" s="49" t="str">
        <f>F11</f>
        <v>Projected</v>
      </c>
    </row>
    <row r="26" spans="1:6" x14ac:dyDescent="0.25">
      <c r="A26" s="38"/>
      <c r="B26" s="50">
        <f>B12</f>
        <v>2024</v>
      </c>
      <c r="C26" s="50">
        <f>C12</f>
        <v>2025</v>
      </c>
      <c r="D26" s="50">
        <f>D12</f>
        <v>2026</v>
      </c>
      <c r="E26" s="50">
        <f>E12</f>
        <v>2027</v>
      </c>
      <c r="F26" s="50">
        <f>F12</f>
        <v>2028</v>
      </c>
    </row>
    <row r="27" spans="1:6" x14ac:dyDescent="0.25">
      <c r="A27" s="48" t="s">
        <v>72</v>
      </c>
      <c r="B27" s="35">
        <f>B13+B14+B15</f>
        <v>73529</v>
      </c>
      <c r="C27" s="35">
        <f>C13+C14+C15</f>
        <v>77370</v>
      </c>
      <c r="D27" s="35">
        <f>D13+D14+D15</f>
        <v>81239</v>
      </c>
      <c r="E27" s="35">
        <f>E13+E14+E15</f>
        <v>85302</v>
      </c>
      <c r="F27" s="35">
        <f>F13+F14+F15</f>
        <v>89567</v>
      </c>
    </row>
    <row r="28" spans="1:6" x14ac:dyDescent="0.25">
      <c r="A28" s="48" t="s">
        <v>71</v>
      </c>
      <c r="B28" s="37">
        <f>B20+B21+B22</f>
        <v>155513</v>
      </c>
      <c r="C28" s="37">
        <f>C20+C21+C22</f>
        <v>163732</v>
      </c>
      <c r="D28" s="37">
        <f>D20+D21+D22</f>
        <v>171918</v>
      </c>
      <c r="E28" s="37">
        <f>E20+E21+E22</f>
        <v>180514</v>
      </c>
      <c r="F28" s="37">
        <f>F20+F21+F22</f>
        <v>189540</v>
      </c>
    </row>
    <row r="29" spans="1:6" x14ac:dyDescent="0.25">
      <c r="A29" s="48" t="s">
        <v>70</v>
      </c>
      <c r="B29" s="35">
        <f>B27-B28</f>
        <v>-81984</v>
      </c>
      <c r="C29" s="35">
        <f>C27-C28</f>
        <v>-86362</v>
      </c>
      <c r="D29" s="35">
        <f>D27-D28</f>
        <v>-90679</v>
      </c>
      <c r="E29" s="35">
        <f>E27-E28</f>
        <v>-95212</v>
      </c>
      <c r="F29" s="35">
        <f>F27-F28</f>
        <v>-99973</v>
      </c>
    </row>
    <row r="30" spans="1:6" x14ac:dyDescent="0.25">
      <c r="A30" s="48" t="s">
        <v>18</v>
      </c>
      <c r="B30" s="37" cm="1">
        <f t="array" ref="B30:F30">B16:F16</f>
        <v>45680</v>
      </c>
      <c r="C30" s="37">
        <v>48762</v>
      </c>
      <c r="D30" s="37">
        <v>51200</v>
      </c>
      <c r="E30" s="37">
        <v>53760</v>
      </c>
      <c r="F30" s="37">
        <v>56448</v>
      </c>
    </row>
    <row r="31" spans="1:6" x14ac:dyDescent="0.25">
      <c r="A31" s="48" t="s">
        <v>69</v>
      </c>
      <c r="B31" s="35">
        <f>B29+B30</f>
        <v>-36304</v>
      </c>
      <c r="C31" s="35">
        <f>C29+C30</f>
        <v>-37600</v>
      </c>
      <c r="D31" s="35">
        <f>D29+D30</f>
        <v>-39479</v>
      </c>
      <c r="E31" s="35">
        <f>E29+E30</f>
        <v>-41452</v>
      </c>
      <c r="F31" s="35">
        <f>F29+F30</f>
        <v>-43525</v>
      </c>
    </row>
    <row r="32" spans="1:6" x14ac:dyDescent="0.25">
      <c r="A32" s="48" t="s">
        <v>68</v>
      </c>
      <c r="B32" s="35">
        <f>B8*(1-24.1%)</f>
        <v>93520.944000000003</v>
      </c>
      <c r="C32" s="35">
        <f>C8*(1-24.1%)</f>
        <v>97968.683999999994</v>
      </c>
      <c r="D32" s="35">
        <f>D8*(1-24.1%)</f>
        <v>102867.27</v>
      </c>
      <c r="E32" s="35">
        <f>E8*(1-24.1%)</f>
        <v>108010.254</v>
      </c>
      <c r="F32" s="35">
        <f>F8*(1-24.1%)</f>
        <v>113411.298</v>
      </c>
    </row>
    <row r="33" spans="1:7" x14ac:dyDescent="0.25">
      <c r="A33" s="48" t="s">
        <v>67</v>
      </c>
      <c r="B33" s="36"/>
      <c r="C33" s="37">
        <f>C31-B31</f>
        <v>-1296</v>
      </c>
      <c r="D33" s="37">
        <f>D31-C31</f>
        <v>-1879</v>
      </c>
      <c r="E33" s="37">
        <f>E31-D31</f>
        <v>-1973</v>
      </c>
      <c r="F33" s="37">
        <f>F31-E31</f>
        <v>-2073</v>
      </c>
    </row>
    <row r="34" spans="1:7" x14ac:dyDescent="0.25">
      <c r="A34" s="48" t="s">
        <v>66</v>
      </c>
      <c r="B34" s="36"/>
      <c r="C34" s="35">
        <f>C32-C33</f>
        <v>99264.683999999994</v>
      </c>
      <c r="D34" s="35">
        <f>D32-D33</f>
        <v>104746.27</v>
      </c>
      <c r="E34" s="35">
        <f>E32-E33</f>
        <v>109983.254</v>
      </c>
      <c r="F34" s="35">
        <f>F32-F33</f>
        <v>115484.298</v>
      </c>
    </row>
    <row r="36" spans="1:7" x14ac:dyDescent="0.25">
      <c r="B36" s="24" t="str" cm="1">
        <f t="array" ref="B36:F37">B25:F26</f>
        <v>Actual</v>
      </c>
      <c r="C36" s="24" t="str">
        <v>Projected</v>
      </c>
      <c r="D36" s="24" t="str">
        <v>Projected</v>
      </c>
      <c r="E36" s="24" t="str">
        <v>Projected</v>
      </c>
      <c r="F36" s="24" t="str">
        <v>Projected</v>
      </c>
    </row>
    <row r="37" spans="1:7" x14ac:dyDescent="0.25">
      <c r="B37" s="24">
        <v>2024</v>
      </c>
      <c r="C37" s="24">
        <v>2025</v>
      </c>
      <c r="D37" s="24">
        <v>2026</v>
      </c>
      <c r="E37" s="24">
        <v>2027</v>
      </c>
      <c r="F37" s="24">
        <v>2028</v>
      </c>
    </row>
    <row r="38" spans="1:7" ht="22" x14ac:dyDescent="0.3">
      <c r="A38" s="51" t="s">
        <v>65</v>
      </c>
      <c r="B38" s="32"/>
      <c r="C38" s="31">
        <f>C32/(B30)</f>
        <v>2.1446734676007004</v>
      </c>
      <c r="D38" s="31">
        <f>D32/(C30)</f>
        <v>2.10957856527624</v>
      </c>
      <c r="E38" s="31">
        <f>E32/(D30)</f>
        <v>2.1095752734375002</v>
      </c>
      <c r="F38" s="31">
        <f>F32/(E30)</f>
        <v>2.1095851562500001</v>
      </c>
      <c r="G38" s="34"/>
    </row>
    <row r="39" spans="1:7" ht="22" x14ac:dyDescent="0.3">
      <c r="A39" s="48" t="s">
        <v>53</v>
      </c>
      <c r="B39" s="32"/>
      <c r="C39" s="33">
        <f>IS_BS!$E$5</f>
        <v>0.08</v>
      </c>
      <c r="D39" s="33">
        <f>IS_BS!$E$5</f>
        <v>0.08</v>
      </c>
      <c r="E39" s="33">
        <f>IS_BS!$E$5</f>
        <v>0.08</v>
      </c>
      <c r="F39" s="33">
        <f>IS_BS!$E$5</f>
        <v>0.08</v>
      </c>
    </row>
    <row r="40" spans="1:7" ht="22" x14ac:dyDescent="0.3">
      <c r="A40" s="48" t="s">
        <v>64</v>
      </c>
      <c r="B40" s="32"/>
      <c r="C40" s="31">
        <f>C38-C39</f>
        <v>2.0646734676007004</v>
      </c>
      <c r="D40" s="31">
        <f>D38-D39</f>
        <v>2.0295785652762399</v>
      </c>
      <c r="E40" s="31">
        <f>E38-E39</f>
        <v>2.0295752734375001</v>
      </c>
      <c r="F40" s="31">
        <f>F38-F39</f>
        <v>2.02958515625</v>
      </c>
    </row>
    <row r="43" spans="1:7" x14ac:dyDescent="0.25">
      <c r="A43" s="26" t="s">
        <v>55</v>
      </c>
      <c r="B43" s="24" t="str" cm="1">
        <f t="array" ref="B43:F44">_xlfn.ANCHORARRAY(B36)</f>
        <v>Actual</v>
      </c>
      <c r="C43" s="24" t="str">
        <v>Projected</v>
      </c>
      <c r="D43" s="24" t="str">
        <v>Projected</v>
      </c>
      <c r="E43" s="24" t="str">
        <v>Projected</v>
      </c>
      <c r="F43" s="24" t="str">
        <v>Projected</v>
      </c>
    </row>
    <row r="44" spans="1:7" x14ac:dyDescent="0.25">
      <c r="A44" s="26"/>
      <c r="B44" s="24">
        <v>2024</v>
      </c>
      <c r="C44" s="24">
        <v>2025</v>
      </c>
      <c r="D44" s="24">
        <v>2026</v>
      </c>
      <c r="E44" s="24">
        <v>2027</v>
      </c>
      <c r="F44" s="24">
        <v>2028</v>
      </c>
    </row>
    <row r="45" spans="1:7" x14ac:dyDescent="0.25">
      <c r="A45" s="52" t="s">
        <v>63</v>
      </c>
      <c r="B45" s="27"/>
      <c r="C45" s="27"/>
      <c r="D45" s="27"/>
      <c r="E45" s="27"/>
      <c r="F45" s="30">
        <f>_xlfn.XLOOKUP(TRIM(E58), $E$55:$E$57, $G$55:$G$57)</f>
        <v>4.4999999999999998E-2</v>
      </c>
    </row>
    <row r="46" spans="1:7" x14ac:dyDescent="0.25">
      <c r="A46" s="52" t="s">
        <v>62</v>
      </c>
      <c r="B46" s="27"/>
      <c r="C46" s="27"/>
      <c r="D46" s="27"/>
      <c r="E46" s="27"/>
      <c r="F46" s="27"/>
    </row>
    <row r="47" spans="1:7" x14ac:dyDescent="0.25">
      <c r="A47" s="52" t="s">
        <v>61</v>
      </c>
      <c r="B47" s="27"/>
      <c r="C47" s="29" cm="1">
        <f t="array" ref="C47:F47">C34:F34</f>
        <v>99264.683999999994</v>
      </c>
      <c r="D47" s="27">
        <v>104746.27</v>
      </c>
      <c r="E47" s="27">
        <v>109983.254</v>
      </c>
      <c r="F47" s="27">
        <v>115484.298</v>
      </c>
    </row>
    <row r="48" spans="1:7" x14ac:dyDescent="0.25">
      <c r="A48" s="52" t="s">
        <v>60</v>
      </c>
      <c r="B48" s="27"/>
      <c r="C48" s="27"/>
      <c r="D48" s="27"/>
      <c r="E48" s="27"/>
      <c r="F48" s="27">
        <f>F47*(1+F45)/(F39-F45)</f>
        <v>3448031.1831428567</v>
      </c>
    </row>
    <row r="49" spans="1:7" x14ac:dyDescent="0.25">
      <c r="A49" s="52" t="s">
        <v>59</v>
      </c>
      <c r="B49" s="27"/>
      <c r="C49" s="29">
        <f>SUM(C47:C48)</f>
        <v>99264.683999999994</v>
      </c>
      <c r="D49" s="29">
        <f>SUM(D47:D48)</f>
        <v>104746.27</v>
      </c>
      <c r="E49" s="29">
        <f>SUM(E47:E48)</f>
        <v>109983.254</v>
      </c>
      <c r="F49" s="29">
        <f>SUM(F47:F48)</f>
        <v>3563515.4811428566</v>
      </c>
    </row>
    <row r="50" spans="1:7" x14ac:dyDescent="0.25">
      <c r="A50" s="52" t="s">
        <v>58</v>
      </c>
      <c r="B50" s="28">
        <f>NPV(9%,C49:F49)</f>
        <v>2788642.8159443727</v>
      </c>
      <c r="C50" s="27"/>
      <c r="D50" s="27"/>
      <c r="E50" s="27"/>
      <c r="F50" s="27"/>
    </row>
    <row r="52" spans="1:7" x14ac:dyDescent="0.25">
      <c r="A52" s="26" t="s">
        <v>57</v>
      </c>
      <c r="B52" s="25" t="s">
        <v>56</v>
      </c>
    </row>
    <row r="53" spans="1:7" x14ac:dyDescent="0.25">
      <c r="A53" s="26"/>
      <c r="B53" s="25">
        <v>2024</v>
      </c>
    </row>
    <row r="54" spans="1:7" ht="22" x14ac:dyDescent="0.3">
      <c r="A54" s="13" t="s">
        <v>55</v>
      </c>
      <c r="B54" s="15">
        <f>B50</f>
        <v>2788642.8159443727</v>
      </c>
      <c r="E54" s="24" t="s">
        <v>54</v>
      </c>
      <c r="F54" s="24" t="s">
        <v>53</v>
      </c>
      <c r="G54" s="24" t="s">
        <v>52</v>
      </c>
    </row>
    <row r="55" spans="1:7" ht="25" x14ac:dyDescent="0.45">
      <c r="A55" s="13" t="s">
        <v>51</v>
      </c>
      <c r="B55" s="23">
        <f>IS_BS!B15+IS_BS!B16+IS_BS!B23</f>
        <v>156650</v>
      </c>
      <c r="E55" s="18" t="s">
        <v>45</v>
      </c>
      <c r="F55" s="21">
        <v>0.08</v>
      </c>
      <c r="G55" s="22">
        <v>4.4999999999999998E-2</v>
      </c>
    </row>
    <row r="56" spans="1:7" ht="22" x14ac:dyDescent="0.3">
      <c r="A56" s="13" t="s">
        <v>50</v>
      </c>
      <c r="B56" s="15">
        <f>B54+B55</f>
        <v>2945292.8159443727</v>
      </c>
      <c r="E56" s="18" t="s">
        <v>49</v>
      </c>
      <c r="F56" s="21">
        <v>7.0000000000000007E-2</v>
      </c>
      <c r="G56" s="16">
        <v>0.05</v>
      </c>
    </row>
    <row r="57" spans="1:7" ht="29" customHeight="1" thickBot="1" x14ac:dyDescent="0.35">
      <c r="A57" s="20" t="s">
        <v>48</v>
      </c>
      <c r="B57" s="19">
        <f>IS_BS!B35+IS_BS!B32+IS_BS!B31</f>
        <v>106629</v>
      </c>
      <c r="E57" s="18" t="s">
        <v>47</v>
      </c>
      <c r="F57" s="17">
        <v>8.5000000000000006E-2</v>
      </c>
      <c r="G57" s="16">
        <v>0.03</v>
      </c>
    </row>
    <row r="58" spans="1:7" ht="23" thickBot="1" x14ac:dyDescent="0.35">
      <c r="A58" s="13" t="s">
        <v>46</v>
      </c>
      <c r="B58" s="15">
        <f>B56-B57</f>
        <v>2838663.8159443727</v>
      </c>
      <c r="E58" s="14" t="s">
        <v>45</v>
      </c>
    </row>
    <row r="59" spans="1:7" ht="22" x14ac:dyDescent="0.3">
      <c r="A59" s="13" t="s">
        <v>44</v>
      </c>
      <c r="B59" s="12">
        <f>IS_BS!E2</f>
        <v>15408</v>
      </c>
    </row>
    <row r="60" spans="1:7" ht="22" x14ac:dyDescent="0.3">
      <c r="A60" s="11" t="s">
        <v>43</v>
      </c>
      <c r="B60" s="10">
        <f>B58/B59</f>
        <v>184.23311370355481</v>
      </c>
      <c r="E60" s="1"/>
    </row>
  </sheetData>
  <mergeCells count="5">
    <mergeCell ref="A1:D1"/>
    <mergeCell ref="A43:A44"/>
    <mergeCell ref="A25:A26"/>
    <mergeCell ref="A52:A53"/>
    <mergeCell ref="A2:A3"/>
  </mergeCells>
  <dataValidations count="1">
    <dataValidation type="list" allowBlank="1" showInputMessage="1" showErrorMessage="1" sqref="E58" xr:uid="{FCA5EAB4-36EA-0644-BD89-A7C7AE255A2D}">
      <formula1>$E$55:$E$57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IS_BS</vt:lpstr>
      <vt:lpstr>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O'Connell</dc:creator>
  <cp:lastModifiedBy>Kieran O'Connell</cp:lastModifiedBy>
  <dcterms:created xsi:type="dcterms:W3CDTF">2026-03-20T20:30:25Z</dcterms:created>
  <dcterms:modified xsi:type="dcterms:W3CDTF">2026-03-20T20:52:11Z</dcterms:modified>
</cp:coreProperties>
</file>