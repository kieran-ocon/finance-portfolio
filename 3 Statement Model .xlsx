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anoconnell/Desktop/portfolio - Main/"/>
    </mc:Choice>
  </mc:AlternateContent>
  <xr:revisionPtr revIDLastSave="0" documentId="13_ncr:1_{4D7EE812-FE9F-3446-B31E-2FFFEFF7E472}" xr6:coauthVersionLast="47" xr6:coauthVersionMax="47" xr10:uidLastSave="{00000000-0000-0000-0000-000000000000}"/>
  <bookViews>
    <workbookView xWindow="0" yWindow="660" windowWidth="30240" windowHeight="17760" xr2:uid="{5264B921-DE43-0C48-8E00-F5EB81390D1F}"/>
  </bookViews>
  <sheets>
    <sheet name="Cover" sheetId="2" r:id="rId1"/>
    <sheet name="Assumptions" sheetId="3" r:id="rId2"/>
    <sheet name="WACC" sheetId="9" r:id="rId3"/>
    <sheet name="Historical" sheetId="4" r:id="rId4"/>
    <sheet name="Income Statement(S)" sheetId="5" r:id="rId5"/>
    <sheet name="Free Cash Flow" sheetId="8" r:id="rId6"/>
    <sheet name="DCF Valuatiobn" sheetId="10" r:id="rId7"/>
    <sheet name="Dashboard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5" i="5"/>
  <c r="B6" i="5"/>
  <c r="B7" i="5" s="1"/>
  <c r="B3" i="5"/>
  <c r="B12" i="4"/>
  <c r="C12" i="4"/>
  <c r="D12" i="4"/>
  <c r="C4" i="4"/>
  <c r="C11" i="4" s="1"/>
  <c r="D4" i="4"/>
  <c r="D11" i="4" s="1"/>
  <c r="B4" i="4"/>
  <c r="B11" i="4" s="1"/>
  <c r="C17" i="4"/>
  <c r="B17" i="4"/>
  <c r="C16" i="4"/>
  <c r="B16" i="4"/>
  <c r="B15" i="4"/>
  <c r="C15" i="4"/>
  <c r="B9" i="9"/>
  <c r="B6" i="9"/>
  <c r="B10" i="9" s="1"/>
  <c r="C1" i="5"/>
  <c r="D1" i="5" s="1"/>
  <c r="E1" i="5" s="1"/>
  <c r="F1" i="5" s="1"/>
  <c r="G1" i="5" s="1"/>
  <c r="B2" i="5"/>
  <c r="C2" i="5" s="1"/>
  <c r="C5" i="5" s="1"/>
  <c r="C13" i="4"/>
  <c r="D13" i="4"/>
  <c r="B13" i="4"/>
  <c r="B13" i="9" l="1"/>
  <c r="B4" i="5"/>
  <c r="B5" i="8"/>
  <c r="B3" i="10"/>
  <c r="C3" i="10"/>
  <c r="D3" i="10"/>
  <c r="E3" i="10"/>
  <c r="B3" i="3"/>
  <c r="B4" i="8"/>
  <c r="D2" i="5"/>
  <c r="B6" i="8"/>
  <c r="F3" i="10" l="1"/>
  <c r="B8" i="12"/>
  <c r="C6" i="8"/>
  <c r="D5" i="5"/>
  <c r="C3" i="5"/>
  <c r="C4" i="5" s="1"/>
  <c r="C6" i="5" s="1"/>
  <c r="C4" i="8"/>
  <c r="D3" i="5"/>
  <c r="D4" i="5" s="1"/>
  <c r="E2" i="5"/>
  <c r="D4" i="8"/>
  <c r="D5" i="8"/>
  <c r="C5" i="8"/>
  <c r="C7" i="5" l="1"/>
  <c r="C8" i="5" s="1"/>
  <c r="B2" i="8"/>
  <c r="B3" i="8" s="1"/>
  <c r="B7" i="8" s="1"/>
  <c r="F2" i="5"/>
  <c r="F5" i="5" s="1"/>
  <c r="E5" i="5"/>
  <c r="E5" i="8"/>
  <c r="E3" i="5"/>
  <c r="E4" i="5" s="1"/>
  <c r="D6" i="5"/>
  <c r="E4" i="8"/>
  <c r="D6" i="8"/>
  <c r="B8" i="5"/>
  <c r="E6" i="8"/>
  <c r="F4" i="8"/>
  <c r="F5" i="8"/>
  <c r="F3" i="5"/>
  <c r="F4" i="5" s="1"/>
  <c r="G2" i="5" l="1"/>
  <c r="G5" i="5" s="1"/>
  <c r="D7" i="5"/>
  <c r="C2" i="8"/>
  <c r="C3" i="8" s="1"/>
  <c r="C7" i="8" s="1"/>
  <c r="E6" i="5"/>
  <c r="D8" i="5"/>
  <c r="F6" i="5"/>
  <c r="G3" i="5"/>
  <c r="G4" i="5" s="1"/>
  <c r="F6" i="8"/>
  <c r="D2" i="8" l="1"/>
  <c r="D3" i="8" s="1"/>
  <c r="D7" i="8" s="1"/>
  <c r="E7" i="5"/>
  <c r="E8" i="5" s="1"/>
  <c r="E2" i="8"/>
  <c r="E3" i="8" s="1"/>
  <c r="E7" i="8" s="1"/>
  <c r="F7" i="5"/>
  <c r="G6" i="5"/>
  <c r="F8" i="5"/>
  <c r="G7" i="5" l="1"/>
  <c r="F2" i="8"/>
  <c r="F3" i="8" s="1"/>
  <c r="F7" i="8" s="1"/>
  <c r="G8" i="5"/>
  <c r="B9" i="12" l="1"/>
  <c r="B2" i="10" a="1"/>
  <c r="B6" i="10" l="1"/>
  <c r="B2" i="10"/>
  <c r="B4" i="10" s="1"/>
  <c r="F4" i="10"/>
  <c r="E4" i="10"/>
  <c r="D4" i="10"/>
  <c r="C4" i="10"/>
  <c r="B7" i="10" l="1"/>
  <c r="B8" i="10" l="1"/>
  <c r="B6" i="12"/>
  <c r="B9" i="10" l="1"/>
  <c r="B5" i="12" s="1"/>
  <c r="B7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<sst xmlns="http://schemas.openxmlformats.org/spreadsheetml/2006/main" count="75" uniqueCount="54">
  <si>
    <t>Company: Apple Inc</t>
  </si>
  <si>
    <t>Prepared By: Kieran O'Connell</t>
  </si>
  <si>
    <t xml:space="preserve">Purpose: Financial Modeling and Valuation Analysis </t>
  </si>
  <si>
    <t>Value</t>
  </si>
  <si>
    <t>Revenue Growth</t>
  </si>
  <si>
    <t>Tax Rate</t>
  </si>
  <si>
    <t>CapEx % Revenue</t>
  </si>
  <si>
    <t>Revenue</t>
  </si>
  <si>
    <t>COGS</t>
  </si>
  <si>
    <t>Gross Profit</t>
  </si>
  <si>
    <t>Operating Expenses</t>
  </si>
  <si>
    <t>EBIT</t>
  </si>
  <si>
    <t>Taxes</t>
  </si>
  <si>
    <t>Net Income</t>
  </si>
  <si>
    <t>Year</t>
  </si>
  <si>
    <t>NOPAT</t>
  </si>
  <si>
    <t>CapEx</t>
  </si>
  <si>
    <t>FCF</t>
  </si>
  <si>
    <t>Gross Margin</t>
  </si>
  <si>
    <t>Operating Margin</t>
  </si>
  <si>
    <t>Net Margin</t>
  </si>
  <si>
    <t>Assumption</t>
  </si>
  <si>
    <t>D&amp;A % Revenue</t>
  </si>
  <si>
    <t>ΔNWC % Revenue</t>
  </si>
  <si>
    <t>Terminal Growth</t>
  </si>
  <si>
    <t>Input</t>
  </si>
  <si>
    <t>Risk Free Rate (Rf)</t>
  </si>
  <si>
    <t>Beta</t>
  </si>
  <si>
    <t xml:space="preserve">Market Return </t>
  </si>
  <si>
    <t>Cost of debtr</t>
  </si>
  <si>
    <t>WACC</t>
  </si>
  <si>
    <t>Cost of Capital:</t>
  </si>
  <si>
    <t>Cost of Equity (utilizing CAPM)</t>
  </si>
  <si>
    <t>After Tax Cost of Debt</t>
  </si>
  <si>
    <t xml:space="preserve">Weight of Equity </t>
  </si>
  <si>
    <t>Weight of debt</t>
  </si>
  <si>
    <t>Growth</t>
  </si>
  <si>
    <t>Net Income Growth</t>
  </si>
  <si>
    <t>($ millions)</t>
  </si>
  <si>
    <t>Operating Income (EBIT)</t>
  </si>
  <si>
    <t>Important Margins</t>
  </si>
  <si>
    <t>Operating Exepense</t>
  </si>
  <si>
    <t>D&amp;A</t>
  </si>
  <si>
    <t>DCF</t>
  </si>
  <si>
    <t>Discount Factor</t>
  </si>
  <si>
    <t>Present Value of FCF</t>
  </si>
  <si>
    <t xml:space="preserve">Discount Terminal </t>
  </si>
  <si>
    <t>Enterprise Value</t>
  </si>
  <si>
    <t>Equity Value</t>
  </si>
  <si>
    <t>Share Price</t>
  </si>
  <si>
    <t>Growth Rate</t>
  </si>
  <si>
    <t>Apple Inc. DCF Valuation Model</t>
  </si>
  <si>
    <t>Prepared by Kieran O’Connell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</si>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</sst>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  <numFmt numFmtId="166" formatCode="0.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5" fillId="3" borderId="0" xfId="0" applyFont="1" applyFill="1"/>
    <xf numFmtId="0" fontId="4" fillId="2" borderId="0" xfId="0" applyFont="1" applyFill="1"/>
    <xf numFmtId="0" fontId="2" fillId="3" borderId="0" xfId="0" applyFont="1" applyFill="1"/>
    <xf numFmtId="0" fontId="6" fillId="0" borderId="0" xfId="0" applyFont="1"/>
    <xf numFmtId="0" fontId="6" fillId="2" borderId="0" xfId="0" applyFont="1" applyFill="1"/>
    <xf numFmtId="3" fontId="6" fillId="2" borderId="0" xfId="0" applyNumberFormat="1" applyFont="1" applyFill="1"/>
    <xf numFmtId="0" fontId="2" fillId="0" borderId="0" xfId="0" applyFont="1"/>
    <xf numFmtId="10" fontId="6" fillId="2" borderId="0" xfId="2" applyNumberFormat="1" applyFont="1" applyFill="1"/>
    <xf numFmtId="0" fontId="2" fillId="2" borderId="0" xfId="0" applyFont="1" applyFill="1"/>
    <xf numFmtId="10" fontId="6" fillId="2" borderId="0" xfId="0" applyNumberFormat="1" applyFont="1" applyFill="1"/>
    <xf numFmtId="0" fontId="4" fillId="3" borderId="0" xfId="0" applyFont="1" applyFill="1"/>
    <xf numFmtId="165" fontId="4" fillId="2" borderId="0" xfId="1" applyNumberFormat="1" applyFont="1" applyFill="1"/>
    <xf numFmtId="44" fontId="4" fillId="2" borderId="0" xfId="1" applyFont="1" applyFill="1"/>
    <xf numFmtId="44" fontId="4" fillId="2" borderId="0" xfId="0" applyNumberFormat="1" applyFont="1" applyFill="1"/>
    <xf numFmtId="44" fontId="4" fillId="0" borderId="0" xfId="0" applyNumberFormat="1" applyFont="1"/>
    <xf numFmtId="9" fontId="4" fillId="2" borderId="0" xfId="0" applyNumberFormat="1" applyFont="1" applyFill="1"/>
    <xf numFmtId="10" fontId="4" fillId="2" borderId="0" xfId="0" applyNumberFormat="1" applyFont="1" applyFill="1"/>
    <xf numFmtId="164" fontId="4" fillId="3" borderId="0" xfId="0" applyNumberFormat="1" applyFont="1" applyFill="1"/>
    <xf numFmtId="164" fontId="4" fillId="2" borderId="0" xfId="0" applyNumberFormat="1" applyFont="1" applyFill="1"/>
    <xf numFmtId="3" fontId="6" fillId="0" borderId="0" xfId="0" applyNumberFormat="1" applyFont="1"/>
    <xf numFmtId="166" fontId="6" fillId="2" borderId="0" xfId="0" applyNumberFormat="1" applyFont="1" applyFill="1"/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FCF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49781277340332"/>
          <c:y val="0.17168999708369787"/>
          <c:w val="0.79194663167104107"/>
          <c:h val="0.6518365412656750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'Free Cash Flow'!$B$7:$F$7</c:f>
              <c:numCache>
                <c:formatCode>_("$"* #,##0.00_);_("$"* \(#,##0.00\);_("$"* "-"??_);_(@_)</c:formatCode>
                <c:ptCount val="5"/>
                <c:pt idx="0">
                  <c:v>93806.831403623655</c:v>
                </c:pt>
                <c:pt idx="1">
                  <c:v>98966.207130822935</c:v>
                </c:pt>
                <c:pt idx="2">
                  <c:v>104409.3485230182</c:v>
                </c:pt>
                <c:pt idx="3">
                  <c:v>110151.86269178419</c:v>
                </c:pt>
                <c:pt idx="4">
                  <c:v>116210.21513983235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2A-9D44-BE99-2AD72E75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620543"/>
        <c:axId val="1439617407"/>
      </c:lineChart>
      <c:catAx>
        <c:axId val="143962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17407"/>
        <c:crosses val="autoZero"/>
        <c:auto val="1"/>
        <c:lblAlgn val="ctr"/>
        <c:lblOffset val="100"/>
        <c:noMultiLvlLbl val="0"/>
      </c:catAx>
      <c:valAx>
        <c:axId val="14396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2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Vs. Net Income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'Income Statement(S)'!$B$2:$G$2</c:f>
              <c:numCache>
                <c:formatCode>_("$"* #,##0_);_("$"* \(#,##0\);_("$"* "-"??_);_(@_)</c:formatCode>
                <c:ptCount val="6"/>
                <c:pt idx="0" formatCode="_(&quot;$&quot;* #,##0.00_);_(&quot;$&quot;* \(#,##0.00\);_(&quot;$&quot;* &quot;-&quot;??_);_(@_)">
                  <c:v>391035</c:v>
                </c:pt>
                <c:pt idx="1">
                  <c:v>412541.92499999999</c:v>
                </c:pt>
                <c:pt idx="2">
                  <c:v>435231.73087499995</c:v>
                </c:pt>
                <c:pt idx="3">
                  <c:v>459169.47607312491</c:v>
                </c:pt>
                <c:pt idx="4">
                  <c:v>484423.79725714674</c:v>
                </c:pt>
                <c:pt idx="5">
                  <c:v>511067.10610628978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B-4B46-B7E4-C5FDB09C9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203583"/>
        <c:axId val="159040787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Statement(S)'!$B$8:$G$8</c:f>
              <c:numCache>
                <c:formatCode>_("$"* #,##0.00_);_("$"* \(#,##0.00\);_("$"* "-"??_);_(@_)</c:formatCode>
                <c:ptCount val="6"/>
                <c:pt idx="0">
                  <c:v>97340.64</c:v>
                </c:pt>
                <c:pt idx="1">
                  <c:v>97932.250653623661</c:v>
                </c:pt>
                <c:pt idx="2">
                  <c:v>103318.52443957292</c:v>
                </c:pt>
                <c:pt idx="3">
                  <c:v>109001.04328374944</c:v>
                </c:pt>
                <c:pt idx="4">
                  <c:v>114996.10066435566</c:v>
                </c:pt>
                <c:pt idx="5">
                  <c:v>121320.88620089523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B-4B46-B7E4-C5FDB09C9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203583"/>
        <c:axId val="1590407871"/>
      </c:lineChart>
      <c:catAx>
        <c:axId val="1322203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407871"/>
        <c:crosses val="autoZero"/>
        <c:auto val="1"/>
        <c:lblAlgn val="ctr"/>
        <c:lblOffset val="100"/>
        <c:noMultiLvlLbl val="0"/>
      </c:catAx>
      <c:valAx>
        <c:axId val="15904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20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190500</xdr:rowOff>
    </xdr:from>
    <xdr:to>
      <xdr:col>7</xdr:col>
      <xdr:colOff>25400</xdr:colOff>
      <xdr:row>14</xdr:row>
      <xdr:rowOff>25400</xdr:rowOff>
    </xdr:to>
    <xdr:pic>
      <xdr:nvPicPr>
        <xdr:cNvPr id="2" name="Picture 1" descr="Apple Logo and symbol, meaning, history ...">
          <a:extLst>
            <a:ext uri="{FF2B5EF4-FFF2-40B4-BE49-F238E27FC236}">
              <a16:creationId xmlns:a16="http://schemas.microsoft.com/office/drawing/2014/main" id="{ACCE1FD6-2E47-5283-5CC4-1EEF9670F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93700"/>
          <a:ext cx="4152900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50800</xdr:rowOff>
    </xdr:from>
    <xdr:to>
      <xdr:col>5</xdr:col>
      <xdr:colOff>609600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09D08-A436-2D4C-A046-30221E8BB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749300</xdr:colOff>
      <xdr:row>7</xdr:row>
      <xdr:rowOff>127000</xdr:rowOff>
    </xdr:from>
    <xdr:to>
      <xdr:col>12</xdr:col>
      <xdr:colOff>558800</xdr:colOff>
      <xdr:row>24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6DD91-F1D9-8F41-BEAF-96D7DDF88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92BF-F477-9D46-95FE-B7643DC3D1A8}">
  <dimension ref="C16:G18"/>
  <sheetViews>
    <sheetView showGridLines="0" tabSelected="1" workbookViewId="0">
      <selection activeCell="G21" sqref="A1:G21"/>
    </sheetView>
  </sheetViews>
  <sheetFormatPr baseColWidth="10" defaultRowHeight="16" x14ac:dyDescent="0.2"/>
  <sheetData>
    <row r="16" spans="3:7" ht="22" x14ac:dyDescent="0.3">
      <c r="C16" s="25" t="s">
        <v>0</v>
      </c>
      <c r="D16" s="25"/>
      <c r="E16" s="25"/>
      <c r="F16" s="25"/>
      <c r="G16" s="25"/>
    </row>
    <row r="17" spans="3:7" ht="19" x14ac:dyDescent="0.25">
      <c r="C17" s="24" t="s">
        <v>1</v>
      </c>
      <c r="D17" s="24"/>
      <c r="E17" s="24"/>
      <c r="F17" s="24"/>
      <c r="G17" s="24"/>
    </row>
    <row r="18" spans="3:7" ht="19" x14ac:dyDescent="0.25">
      <c r="C18" s="24" t="s">
        <v>2</v>
      </c>
      <c r="D18" s="24"/>
      <c r="E18" s="24"/>
      <c r="F18" s="24"/>
      <c r="G18" s="24"/>
    </row>
  </sheetData>
  <mergeCells count="3">
    <mergeCell ref="C18:G18"/>
    <mergeCell ref="C16:G16"/>
    <mergeCell ref="C17:G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4267-215A-B84C-ABE0-2A2AD99A6F37}">
  <dimension ref="A1:T11"/>
  <sheetViews>
    <sheetView workbookViewId="0">
      <selection activeCell="A19" sqref="A19"/>
    </sheetView>
  </sheetViews>
  <sheetFormatPr baseColWidth="10" defaultRowHeight="19" x14ac:dyDescent="0.25"/>
  <cols>
    <col min="1" max="1" width="24.6640625" style="5" customWidth="1"/>
    <col min="2" max="2" width="19.1640625" style="5" customWidth="1"/>
    <col min="3" max="20" width="10.83203125" style="5"/>
  </cols>
  <sheetData>
    <row r="1" spans="1:2" x14ac:dyDescent="0.25">
      <c r="A1" s="4" t="s">
        <v>21</v>
      </c>
      <c r="B1" s="4" t="s">
        <v>3</v>
      </c>
    </row>
    <row r="2" spans="1:2" x14ac:dyDescent="0.25">
      <c r="A2" s="6" t="s">
        <v>4</v>
      </c>
      <c r="B2" s="9">
        <v>5.5E-2</v>
      </c>
    </row>
    <row r="3" spans="1:2" x14ac:dyDescent="0.25">
      <c r="A3" s="6" t="s">
        <v>18</v>
      </c>
      <c r="B3" s="11">
        <f>AVERAGE(Historical!B11:D11)</f>
        <v>0.44549036651267193</v>
      </c>
    </row>
    <row r="4" spans="1:2" x14ac:dyDescent="0.25">
      <c r="A4" s="6" t="s">
        <v>19</v>
      </c>
      <c r="B4" s="11">
        <v>0.315</v>
      </c>
    </row>
    <row r="5" spans="1:2" x14ac:dyDescent="0.25">
      <c r="A5" s="6" t="s">
        <v>41</v>
      </c>
      <c r="B5" s="11">
        <v>0.14499999999999999</v>
      </c>
    </row>
    <row r="6" spans="1:2" x14ac:dyDescent="0.25">
      <c r="A6" s="6" t="s">
        <v>5</v>
      </c>
      <c r="B6" s="11">
        <v>0.21</v>
      </c>
    </row>
    <row r="7" spans="1:2" x14ac:dyDescent="0.25">
      <c r="A7" s="6" t="s">
        <v>6</v>
      </c>
      <c r="B7" s="11">
        <v>3.5000000000000003E-2</v>
      </c>
    </row>
    <row r="8" spans="1:2" x14ac:dyDescent="0.25">
      <c r="A8" s="6" t="s">
        <v>22</v>
      </c>
      <c r="B8" s="11">
        <v>2.5000000000000001E-2</v>
      </c>
    </row>
    <row r="9" spans="1:2" x14ac:dyDescent="0.25">
      <c r="A9" s="6" t="s">
        <v>23</v>
      </c>
      <c r="B9" s="11">
        <v>0.01</v>
      </c>
    </row>
    <row r="10" spans="1:2" x14ac:dyDescent="0.25">
      <c r="A10" s="6" t="s">
        <v>50</v>
      </c>
      <c r="B10" s="11">
        <v>2.75E-2</v>
      </c>
    </row>
    <row r="11" spans="1:2" x14ac:dyDescent="0.25">
      <c r="A11" s="6" t="s">
        <v>24</v>
      </c>
      <c r="B11" s="22">
        <f>'Free Cash Flow'!F7*(1+B10)/(WACC!B13-B10)</f>
        <v>2301247.8160670246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BF06-C41C-5A41-9551-1C86B4968955}">
  <dimension ref="A1:X13"/>
  <sheetViews>
    <sheetView workbookViewId="0">
      <selection activeCell="C24" sqref="C24"/>
    </sheetView>
  </sheetViews>
  <sheetFormatPr baseColWidth="10" defaultRowHeight="19" x14ac:dyDescent="0.25"/>
  <cols>
    <col min="1" max="1" width="29.33203125" style="1" bestFit="1" customWidth="1"/>
    <col min="2" max="24" width="10.83203125" style="1"/>
  </cols>
  <sheetData>
    <row r="1" spans="1:2" x14ac:dyDescent="0.25">
      <c r="A1" s="12" t="s">
        <v>25</v>
      </c>
      <c r="B1" s="12" t="s">
        <v>3</v>
      </c>
    </row>
    <row r="2" spans="1:2" x14ac:dyDescent="0.25">
      <c r="A2" s="3" t="s">
        <v>26</v>
      </c>
      <c r="B2" s="20">
        <v>0.04</v>
      </c>
    </row>
    <row r="3" spans="1:2" x14ac:dyDescent="0.25">
      <c r="A3" s="3" t="s">
        <v>27</v>
      </c>
      <c r="B3" s="3">
        <v>1.2</v>
      </c>
    </row>
    <row r="4" spans="1:2" x14ac:dyDescent="0.25">
      <c r="A4" s="3" t="s">
        <v>28</v>
      </c>
      <c r="B4" s="18">
        <v>8.5000000000000006E-2</v>
      </c>
    </row>
    <row r="5" spans="1:2" x14ac:dyDescent="0.25">
      <c r="A5" s="3" t="s">
        <v>29</v>
      </c>
      <c r="B5" s="18">
        <v>4.4999999999999998E-2</v>
      </c>
    </row>
    <row r="6" spans="1:2" x14ac:dyDescent="0.25">
      <c r="A6" s="3" t="s">
        <v>5</v>
      </c>
      <c r="B6" s="17">
        <f>Assumptions!B6</f>
        <v>0.21</v>
      </c>
    </row>
    <row r="8" spans="1:2" x14ac:dyDescent="0.25">
      <c r="A8" s="12" t="s">
        <v>31</v>
      </c>
      <c r="B8" s="19"/>
    </row>
    <row r="9" spans="1:2" x14ac:dyDescent="0.25">
      <c r="A9" s="3" t="s">
        <v>32</v>
      </c>
      <c r="B9" s="18">
        <f>B2+B3*(B4-B2)</f>
        <v>9.4E-2</v>
      </c>
    </row>
    <row r="10" spans="1:2" x14ac:dyDescent="0.25">
      <c r="A10" s="3" t="s">
        <v>33</v>
      </c>
      <c r="B10" s="18">
        <f>B5*(1-B6)</f>
        <v>3.5549999999999998E-2</v>
      </c>
    </row>
    <row r="11" spans="1:2" x14ac:dyDescent="0.25">
      <c r="A11" s="3" t="s">
        <v>34</v>
      </c>
      <c r="B11" s="18">
        <v>0.75</v>
      </c>
    </row>
    <row r="12" spans="1:2" x14ac:dyDescent="0.25">
      <c r="A12" s="3" t="s">
        <v>35</v>
      </c>
      <c r="B12" s="18">
        <v>0.25</v>
      </c>
    </row>
    <row r="13" spans="1:2" x14ac:dyDescent="0.25">
      <c r="A13" s="3" t="s">
        <v>30</v>
      </c>
      <c r="B13" s="18">
        <f>B11*B9+B10*B12</f>
        <v>7.93875E-2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E3CC-96B5-0E43-BDA4-E4B1205EC870}">
  <dimension ref="A1:Y17"/>
  <sheetViews>
    <sheetView workbookViewId="0">
      <selection activeCell="D6" sqref="D6"/>
    </sheetView>
  </sheetViews>
  <sheetFormatPr baseColWidth="10" defaultRowHeight="19" x14ac:dyDescent="0.25"/>
  <cols>
    <col min="1" max="1" width="23.5" style="5" customWidth="1"/>
    <col min="2" max="6" width="17.33203125" style="5" customWidth="1"/>
    <col min="7" max="25" width="10.83203125" style="5"/>
  </cols>
  <sheetData>
    <row r="1" spans="1:5" x14ac:dyDescent="0.25">
      <c r="A1" s="4" t="s">
        <v>38</v>
      </c>
      <c r="B1" s="4">
        <v>2022</v>
      </c>
      <c r="C1" s="4">
        <v>2023</v>
      </c>
      <c r="D1" s="4">
        <v>2024</v>
      </c>
    </row>
    <row r="2" spans="1:5" x14ac:dyDescent="0.25">
      <c r="A2" s="6" t="s">
        <v>7</v>
      </c>
      <c r="B2" s="7">
        <v>394328</v>
      </c>
      <c r="C2" s="7">
        <v>383285</v>
      </c>
      <c r="D2" s="7">
        <v>391035</v>
      </c>
    </row>
    <row r="3" spans="1:5" x14ac:dyDescent="0.25">
      <c r="A3" s="6" t="s">
        <v>8</v>
      </c>
      <c r="B3" s="7">
        <v>223546</v>
      </c>
      <c r="C3" s="7">
        <v>214137</v>
      </c>
      <c r="D3" s="7">
        <v>210352</v>
      </c>
      <c r="E3" s="8"/>
    </row>
    <row r="4" spans="1:5" x14ac:dyDescent="0.25">
      <c r="A4" s="6" t="s">
        <v>9</v>
      </c>
      <c r="B4" s="7">
        <f>B2-B3</f>
        <v>170782</v>
      </c>
      <c r="C4" s="7">
        <f t="shared" ref="C4:D4" si="0">C2-C3</f>
        <v>169148</v>
      </c>
      <c r="D4" s="7">
        <f t="shared" si="0"/>
        <v>180683</v>
      </c>
    </row>
    <row r="5" spans="1:5" x14ac:dyDescent="0.25">
      <c r="A5" s="6" t="s">
        <v>10</v>
      </c>
      <c r="B5" s="7">
        <v>51345</v>
      </c>
      <c r="C5" s="7">
        <v>54847</v>
      </c>
      <c r="D5" s="7">
        <v>57467</v>
      </c>
    </row>
    <row r="6" spans="1:5" x14ac:dyDescent="0.25">
      <c r="A6" s="6" t="s">
        <v>39</v>
      </c>
      <c r="B6" s="7">
        <v>119437</v>
      </c>
      <c r="C6" s="7">
        <v>114301</v>
      </c>
      <c r="D6" s="7">
        <v>123216</v>
      </c>
    </row>
    <row r="7" spans="1:5" x14ac:dyDescent="0.25">
      <c r="A7" s="6" t="s">
        <v>12</v>
      </c>
      <c r="B7" s="7">
        <v>19300</v>
      </c>
      <c r="C7" s="7">
        <v>16741</v>
      </c>
      <c r="D7" s="7">
        <v>29749</v>
      </c>
    </row>
    <row r="8" spans="1:5" x14ac:dyDescent="0.25">
      <c r="A8" s="6" t="s">
        <v>13</v>
      </c>
      <c r="B8" s="7">
        <v>99803</v>
      </c>
      <c r="C8" s="7">
        <v>96995</v>
      </c>
      <c r="D8" s="7">
        <v>93736</v>
      </c>
    </row>
    <row r="9" spans="1:5" x14ac:dyDescent="0.25">
      <c r="B9" s="21"/>
      <c r="C9" s="21"/>
      <c r="D9" s="21"/>
    </row>
    <row r="10" spans="1:5" x14ac:dyDescent="0.25">
      <c r="A10" s="4" t="s">
        <v>40</v>
      </c>
      <c r="B10" s="4">
        <v>2022</v>
      </c>
      <c r="C10" s="4">
        <v>2023</v>
      </c>
      <c r="D10" s="4">
        <v>2024</v>
      </c>
    </row>
    <row r="11" spans="1:5" x14ac:dyDescent="0.25">
      <c r="A11" s="6" t="s">
        <v>18</v>
      </c>
      <c r="B11" s="9">
        <f>B4/B2</f>
        <v>0.43309630561360085</v>
      </c>
      <c r="C11" s="9">
        <f>C4/C2</f>
        <v>0.44131129577207562</v>
      </c>
      <c r="D11" s="9">
        <f>D4/D2</f>
        <v>0.46206349815233932</v>
      </c>
    </row>
    <row r="12" spans="1:5" x14ac:dyDescent="0.25">
      <c r="A12" s="6" t="s">
        <v>19</v>
      </c>
      <c r="B12" s="9">
        <f t="shared" ref="B12:C12" si="1">B6/B2</f>
        <v>0.30288744395528594</v>
      </c>
      <c r="C12" s="9">
        <f t="shared" si="1"/>
        <v>0.29821412265024722</v>
      </c>
      <c r="D12" s="9">
        <f>D6/D2</f>
        <v>0.31510222870075566</v>
      </c>
    </row>
    <row r="13" spans="1:5" x14ac:dyDescent="0.25">
      <c r="A13" s="6" t="s">
        <v>20</v>
      </c>
      <c r="B13" s="9">
        <f>B6/B2</f>
        <v>0.30288744395528594</v>
      </c>
      <c r="C13" s="9">
        <f>C6/C2</f>
        <v>0.29821412265024722</v>
      </c>
      <c r="D13" s="9">
        <f>D6/D2</f>
        <v>0.31510222870075566</v>
      </c>
    </row>
    <row r="15" spans="1:5" x14ac:dyDescent="0.25">
      <c r="A15" s="4" t="s">
        <v>36</v>
      </c>
      <c r="B15" s="4">
        <f>C1</f>
        <v>2023</v>
      </c>
      <c r="C15" s="4">
        <f>D1</f>
        <v>2024</v>
      </c>
    </row>
    <row r="16" spans="1:5" x14ac:dyDescent="0.25">
      <c r="A16" s="6" t="s">
        <v>4</v>
      </c>
      <c r="B16" s="9">
        <f>(C2/B2)-1</f>
        <v>-2.800460530319937E-2</v>
      </c>
      <c r="C16" s="9">
        <f>(D2/C2)-1</f>
        <v>2.021994077514111E-2</v>
      </c>
    </row>
    <row r="17" spans="1:3" x14ac:dyDescent="0.25">
      <c r="A17" s="6" t="s">
        <v>37</v>
      </c>
      <c r="B17" s="9">
        <f>(C6/B6)-1</f>
        <v>-4.3001749876503959E-2</v>
      </c>
      <c r="C17" s="9">
        <f>(D6/C6)-1</f>
        <v>7.7995818059334532E-2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7FB1-8C32-2C41-96D1-A1B0B272CE38}">
  <dimension ref="A1:O8"/>
  <sheetViews>
    <sheetView workbookViewId="0">
      <selection activeCell="K18" sqref="K18"/>
    </sheetView>
  </sheetViews>
  <sheetFormatPr baseColWidth="10" defaultRowHeight="19" x14ac:dyDescent="0.25"/>
  <cols>
    <col min="1" max="1" width="21.33203125" style="1" customWidth="1"/>
    <col min="2" max="6" width="16.83203125" style="1" bestFit="1" customWidth="1"/>
    <col min="7" max="7" width="15.6640625" style="1" customWidth="1"/>
    <col min="8" max="15" width="10.83203125" style="1"/>
  </cols>
  <sheetData>
    <row r="1" spans="1:7" x14ac:dyDescent="0.25">
      <c r="A1" s="4" t="s">
        <v>14</v>
      </c>
      <c r="B1" s="4">
        <v>2024</v>
      </c>
      <c r="C1" s="4">
        <f>1+B1</f>
        <v>2025</v>
      </c>
      <c r="D1" s="4">
        <f t="shared" ref="D1:G1" si="0">1+C1</f>
        <v>2026</v>
      </c>
      <c r="E1" s="4">
        <f t="shared" si="0"/>
        <v>2027</v>
      </c>
      <c r="F1" s="4">
        <f t="shared" si="0"/>
        <v>2028</v>
      </c>
      <c r="G1" s="4">
        <f t="shared" si="0"/>
        <v>2029</v>
      </c>
    </row>
    <row r="2" spans="1:7" x14ac:dyDescent="0.25">
      <c r="A2" s="3" t="s">
        <v>7</v>
      </c>
      <c r="B2" s="14">
        <f>Historical!D2</f>
        <v>391035</v>
      </c>
      <c r="C2" s="13">
        <f>B2*(1+Assumptions!$B$2)</f>
        <v>412541.92499999999</v>
      </c>
      <c r="D2" s="13">
        <f>C2*(1+Assumptions!$B$2)</f>
        <v>435231.73087499995</v>
      </c>
      <c r="E2" s="13">
        <f>D2*(1+Assumptions!$B$2)</f>
        <v>459169.47607312491</v>
      </c>
      <c r="F2" s="13">
        <f>E2*(1+Assumptions!$B$2)</f>
        <v>484423.79725714674</v>
      </c>
      <c r="G2" s="13">
        <f>F2*(1+Assumptions!$B$2)</f>
        <v>511067.10610628978</v>
      </c>
    </row>
    <row r="3" spans="1:7" x14ac:dyDescent="0.25">
      <c r="A3" s="3" t="s">
        <v>8</v>
      </c>
      <c r="B3" s="13">
        <f>Historical!D3</f>
        <v>210352</v>
      </c>
      <c r="C3" s="13">
        <f>C2*(1-Assumptions!$B$3)</f>
        <v>228758.47162990677</v>
      </c>
      <c r="D3" s="13">
        <f>D2*(1-Assumptions!$B$3)</f>
        <v>241340.18756955164</v>
      </c>
      <c r="E3" s="13">
        <f>E2*(1-Assumptions!$B$3)</f>
        <v>254613.89788587694</v>
      </c>
      <c r="F3" s="13">
        <f>F2*(1-Assumptions!$B$3)</f>
        <v>268617.66226960014</v>
      </c>
      <c r="G3" s="13">
        <f>G2*(1-Assumptions!$B$3)</f>
        <v>283391.63369442814</v>
      </c>
    </row>
    <row r="4" spans="1:7" x14ac:dyDescent="0.25">
      <c r="A4" s="3" t="s">
        <v>9</v>
      </c>
      <c r="B4" s="15">
        <f>B2-B3</f>
        <v>180683</v>
      </c>
      <c r="C4" s="15">
        <f t="shared" ref="C4:G4" si="1">C2-C3</f>
        <v>183783.45337009322</v>
      </c>
      <c r="D4" s="15">
        <f t="shared" si="1"/>
        <v>193891.54330544831</v>
      </c>
      <c r="E4" s="15">
        <f t="shared" si="1"/>
        <v>204555.57818724797</v>
      </c>
      <c r="F4" s="15">
        <f t="shared" si="1"/>
        <v>215806.1349875466</v>
      </c>
      <c r="G4" s="15">
        <f t="shared" si="1"/>
        <v>227675.47241186164</v>
      </c>
    </row>
    <row r="5" spans="1:7" x14ac:dyDescent="0.25">
      <c r="A5" s="3" t="s">
        <v>10</v>
      </c>
      <c r="B5" s="15">
        <f>Historical!D5</f>
        <v>57467</v>
      </c>
      <c r="C5" s="15">
        <f>C2*Assumptions!$B$5</f>
        <v>59818.579124999997</v>
      </c>
      <c r="D5" s="15">
        <f>D2*Assumptions!$B$5</f>
        <v>63108.600976874986</v>
      </c>
      <c r="E5" s="15">
        <f>E2*Assumptions!$B$5</f>
        <v>66579.574030603108</v>
      </c>
      <c r="F5" s="15">
        <f>F2*Assumptions!$B$5</f>
        <v>70241.450602286277</v>
      </c>
      <c r="G5" s="15">
        <f>G2*Assumptions!$B$5</f>
        <v>74104.730385412011</v>
      </c>
    </row>
    <row r="6" spans="1:7" x14ac:dyDescent="0.25">
      <c r="A6" s="3" t="s">
        <v>11</v>
      </c>
      <c r="B6" s="15">
        <f>Historical!D6</f>
        <v>123216</v>
      </c>
      <c r="C6" s="15">
        <f t="shared" ref="C6:G6" si="2">C4-C5</f>
        <v>123964.87424509323</v>
      </c>
      <c r="D6" s="15">
        <f t="shared" si="2"/>
        <v>130782.94232857332</v>
      </c>
      <c r="E6" s="15">
        <f t="shared" si="2"/>
        <v>137976.00415664486</v>
      </c>
      <c r="F6" s="15">
        <f t="shared" si="2"/>
        <v>145564.68438526033</v>
      </c>
      <c r="G6" s="15">
        <f t="shared" si="2"/>
        <v>153570.74202644965</v>
      </c>
    </row>
    <row r="7" spans="1:7" x14ac:dyDescent="0.25">
      <c r="A7" s="3" t="s">
        <v>12</v>
      </c>
      <c r="B7" s="15">
        <f>B6*21%</f>
        <v>25875.360000000001</v>
      </c>
      <c r="C7" s="15">
        <f>C6*21%</f>
        <v>26032.623591469579</v>
      </c>
      <c r="D7" s="15">
        <f t="shared" ref="D7:G7" si="3">D6*21%</f>
        <v>27464.417889000397</v>
      </c>
      <c r="E7" s="15">
        <f t="shared" si="3"/>
        <v>28974.960872895419</v>
      </c>
      <c r="F7" s="15">
        <f t="shared" si="3"/>
        <v>30568.583720904669</v>
      </c>
      <c r="G7" s="15">
        <f t="shared" si="3"/>
        <v>32249.855825554423</v>
      </c>
    </row>
    <row r="8" spans="1:7" x14ac:dyDescent="0.25">
      <c r="A8" s="3" t="s">
        <v>13</v>
      </c>
      <c r="B8" s="15">
        <f>B6-B7</f>
        <v>97340.64</v>
      </c>
      <c r="C8" s="15">
        <f t="shared" ref="C8:G8" si="4">C6-C7</f>
        <v>97932.250653623661</v>
      </c>
      <c r="D8" s="15">
        <f t="shared" si="4"/>
        <v>103318.52443957292</v>
      </c>
      <c r="E8" s="15">
        <f t="shared" si="4"/>
        <v>109001.04328374944</v>
      </c>
      <c r="F8" s="15">
        <f t="shared" si="4"/>
        <v>114996.10066435566</v>
      </c>
      <c r="G8" s="15">
        <f t="shared" si="4"/>
        <v>121320.88620089523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757E-3C8B-7F4C-BF5B-E45802F03C7F}">
  <dimension ref="A1:X7"/>
  <sheetViews>
    <sheetView workbookViewId="0">
      <selection activeCell="B10" sqref="B10"/>
    </sheetView>
  </sheetViews>
  <sheetFormatPr baseColWidth="10" defaultRowHeight="19" x14ac:dyDescent="0.25"/>
  <cols>
    <col min="1" max="1" width="15.83203125" style="1" bestFit="1" customWidth="1"/>
    <col min="2" max="6" width="17" style="1" customWidth="1"/>
    <col min="7" max="7" width="13.1640625" style="1" bestFit="1" customWidth="1"/>
    <col min="8" max="24" width="10.83203125" style="1"/>
  </cols>
  <sheetData>
    <row r="1" spans="1:7" x14ac:dyDescent="0.25">
      <c r="A1" s="2" t="s">
        <v>14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</row>
    <row r="2" spans="1:7" x14ac:dyDescent="0.25">
      <c r="A2" s="3" t="s">
        <v>11</v>
      </c>
      <c r="B2" s="15">
        <f>'Income Statement(S)'!C6</f>
        <v>123964.87424509323</v>
      </c>
      <c r="C2" s="15">
        <f>'Income Statement(S)'!D6</f>
        <v>130782.94232857332</v>
      </c>
      <c r="D2" s="15">
        <f>'Income Statement(S)'!E6</f>
        <v>137976.00415664486</v>
      </c>
      <c r="E2" s="15">
        <f>'Income Statement(S)'!F6</f>
        <v>145564.68438526033</v>
      </c>
      <c r="F2" s="15">
        <f>'Income Statement(S)'!G6</f>
        <v>153570.74202644965</v>
      </c>
    </row>
    <row r="3" spans="1:7" x14ac:dyDescent="0.25">
      <c r="A3" s="3" t="s">
        <v>15</v>
      </c>
      <c r="B3" s="15">
        <f>B2*(1-Assumptions!$B$6)</f>
        <v>97932.250653623661</v>
      </c>
      <c r="C3" s="15">
        <f>C2*(1-Assumptions!$B$6)</f>
        <v>103318.52443957292</v>
      </c>
      <c r="D3" s="15">
        <f>D2*(1-Assumptions!$B$6)</f>
        <v>109001.04328374944</v>
      </c>
      <c r="E3" s="15">
        <f>E2*(1-Assumptions!$B$6)</f>
        <v>114996.10066435568</v>
      </c>
      <c r="F3" s="15">
        <f>F2*(1-Assumptions!$B$6)</f>
        <v>121320.88620089523</v>
      </c>
      <c r="G3" s="16"/>
    </row>
    <row r="4" spans="1:7" x14ac:dyDescent="0.25">
      <c r="A4" s="3" t="s">
        <v>42</v>
      </c>
      <c r="B4" s="15">
        <f>'Income Statement(S)'!B2*Assumptions!$B$8</f>
        <v>9775.875</v>
      </c>
      <c r="C4" s="15">
        <f>'Income Statement(S)'!C2*Assumptions!$B$8</f>
        <v>10313.548125000001</v>
      </c>
      <c r="D4" s="15">
        <f>'Income Statement(S)'!D2*Assumptions!$B$8</f>
        <v>10880.793271875</v>
      </c>
      <c r="E4" s="15">
        <f>'Income Statement(S)'!E2*Assumptions!$B$8</f>
        <v>11479.236901828124</v>
      </c>
      <c r="F4" s="15">
        <f>'Income Statement(S)'!F2*Assumptions!$B$8</f>
        <v>12110.59493142867</v>
      </c>
    </row>
    <row r="5" spans="1:7" x14ac:dyDescent="0.25">
      <c r="A5" s="3" t="s">
        <v>16</v>
      </c>
      <c r="B5" s="15">
        <f>'Income Statement(S)'!B2*Assumptions!$B$7</f>
        <v>13686.225000000002</v>
      </c>
      <c r="C5" s="15">
        <f>'Income Statement(S)'!C2*Assumptions!$B$7</f>
        <v>14438.967375</v>
      </c>
      <c r="D5" s="15">
        <f>'Income Statement(S)'!D2*Assumptions!$B$7</f>
        <v>15233.110580625</v>
      </c>
      <c r="E5" s="15">
        <f>'Income Statement(S)'!E2*Assumptions!$B$7</f>
        <v>16070.931662559373</v>
      </c>
      <c r="F5" s="15">
        <f>'Income Statement(S)'!F2*Assumptions!$B$7</f>
        <v>16954.832904000137</v>
      </c>
    </row>
    <row r="6" spans="1:7" x14ac:dyDescent="0.25">
      <c r="A6" s="3" t="s">
        <v>43</v>
      </c>
      <c r="B6" s="15">
        <f>('Income Statement(S)'!C2-'Income Statement(S)'!B2)*Assumptions!$B$9</f>
        <v>215.0692499999999</v>
      </c>
      <c r="C6" s="15">
        <f>('Income Statement(S)'!D2-'Income Statement(S)'!C2)*Assumptions!$B$9</f>
        <v>226.89805874999962</v>
      </c>
      <c r="D6" s="15">
        <f>('Income Statement(S)'!E2-'Income Statement(S)'!D2)*Assumptions!$B$9</f>
        <v>239.37745198124961</v>
      </c>
      <c r="E6" s="15">
        <f>('Income Statement(S)'!F2-'Income Statement(S)'!E2)*Assumptions!$B$9</f>
        <v>252.54321184021828</v>
      </c>
      <c r="F6" s="15">
        <f>('Income Statement(S)'!G2-'Income Statement(S)'!F2)*Assumptions!$B$9</f>
        <v>266.4330884914304</v>
      </c>
    </row>
    <row r="7" spans="1:7" x14ac:dyDescent="0.25">
      <c r="A7" s="3" t="s">
        <v>17</v>
      </c>
      <c r="B7" s="15">
        <f>B3+B4-B5-B6</f>
        <v>93806.831403623655</v>
      </c>
      <c r="C7" s="15">
        <f t="shared" ref="C7:F7" si="0">C3+C4-C5-C6</f>
        <v>98966.207130822935</v>
      </c>
      <c r="D7" s="15">
        <f t="shared" si="0"/>
        <v>104409.3485230182</v>
      </c>
      <c r="E7" s="15">
        <f t="shared" si="0"/>
        <v>110151.86269178419</v>
      </c>
      <c r="F7" s="15">
        <f t="shared" si="0"/>
        <v>116210.21513983235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9747-4169-6542-B8C4-D782AD99A868}">
  <dimension ref="A1:T11"/>
  <sheetViews>
    <sheetView workbookViewId="0">
      <selection activeCell="B11" sqref="B11"/>
    </sheetView>
  </sheetViews>
  <sheetFormatPr baseColWidth="10" defaultRowHeight="19" x14ac:dyDescent="0.25"/>
  <cols>
    <col min="1" max="1" width="20.6640625" style="1" bestFit="1" customWidth="1"/>
    <col min="2" max="20" width="18" style="1" customWidth="1"/>
  </cols>
  <sheetData>
    <row r="1" spans="1:6" x14ac:dyDescent="0.25">
      <c r="A1" s="2" t="s">
        <v>14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</row>
    <row r="2" spans="1:6" x14ac:dyDescent="0.25">
      <c r="A2" s="3" t="s">
        <v>17</v>
      </c>
      <c r="B2" s="14" cm="1">
        <f t="array" ref="B2:F2">'Free Cash Flow'!B7:F7</f>
        <v>93806.831403623655</v>
      </c>
      <c r="C2" s="14">
        <v>98966.207130822935</v>
      </c>
      <c r="D2" s="14">
        <v>104409.3485230182</v>
      </c>
      <c r="E2" s="14">
        <v>110151.86269178419</v>
      </c>
      <c r="F2" s="14">
        <v>116210.21513983235</v>
      </c>
    </row>
    <row r="3" spans="1:6" x14ac:dyDescent="0.25">
      <c r="A3" s="3" t="s">
        <v>44</v>
      </c>
      <c r="B3" s="3">
        <f>1/(1+WACC!$B$13)^1</f>
        <v>0.92645134393348083</v>
      </c>
      <c r="C3" s="3">
        <f>1/(1+WACC!$B$13)^2</f>
        <v>0.85831209267615272</v>
      </c>
      <c r="D3" s="3">
        <f>1/(1+WACC!$B$13)^3</f>
        <v>0.79518439177417999</v>
      </c>
      <c r="E3" s="3">
        <f>1/(1+WACC!$B$13)^4</f>
        <v>0.73669964843411662</v>
      </c>
      <c r="F3" s="3">
        <f>1/(1+WACC!$B$13)^5</f>
        <v>0.68251637936711029</v>
      </c>
    </row>
    <row r="4" spans="1:6" x14ac:dyDescent="0.25">
      <c r="A4" s="3" t="s">
        <v>45</v>
      </c>
      <c r="B4" s="15">
        <f>B2*B3</f>
        <v>86907.465024028585</v>
      </c>
      <c r="C4" s="15">
        <f t="shared" ref="C4:F4" si="0">C2*C3</f>
        <v>84943.892346678214</v>
      </c>
      <c r="D4" s="15">
        <f t="shared" si="0"/>
        <v>83024.68430081461</v>
      </c>
      <c r="E4" s="15">
        <f t="shared" si="0"/>
        <v>81148.838519400495</v>
      </c>
      <c r="F4" s="15">
        <f t="shared" si="0"/>
        <v>79315.37528271132</v>
      </c>
    </row>
    <row r="6" spans="1:6" x14ac:dyDescent="0.25">
      <c r="A6" s="10" t="s">
        <v>46</v>
      </c>
      <c r="B6" s="14">
        <f>Assumptions!B11/(1+WACC!B13)^5</f>
        <v>1570639.3274485352</v>
      </c>
    </row>
    <row r="7" spans="1:6" x14ac:dyDescent="0.25">
      <c r="A7" s="10" t="s">
        <v>47</v>
      </c>
      <c r="B7" s="15">
        <f>SUM(B4:F4)+B6</f>
        <v>1985979.5829221685</v>
      </c>
    </row>
    <row r="8" spans="1:6" x14ac:dyDescent="0.25">
      <c r="A8" s="10" t="s">
        <v>48</v>
      </c>
      <c r="B8" s="15">
        <f>B7-110000+140000</f>
        <v>2015979.5829221685</v>
      </c>
    </row>
    <row r="9" spans="1:6" x14ac:dyDescent="0.25">
      <c r="A9" s="10" t="s">
        <v>49</v>
      </c>
      <c r="B9" s="15">
        <f>B8/15500</f>
        <v>130.06319889820443</v>
      </c>
    </row>
    <row r="11" spans="1:6" x14ac:dyDescent="0.25">
      <c r="B1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EEC1-BE07-264B-B875-ED8EF1E77508}">
  <dimension ref="A1:C9"/>
  <sheetViews>
    <sheetView workbookViewId="0">
      <selection activeCell="E8" sqref="E8"/>
    </sheetView>
  </sheetViews>
  <sheetFormatPr baseColWidth="10" defaultRowHeight="16" x14ac:dyDescent="0.2"/>
  <cols>
    <col min="1" max="1" width="16.5" bestFit="1" customWidth="1"/>
    <col min="2" max="2" width="16.33203125" bestFit="1" customWidth="1"/>
  </cols>
  <sheetData>
    <row r="1" spans="1:3" ht="19" x14ac:dyDescent="0.25">
      <c r="A1" s="26" t="s">
        <v>51</v>
      </c>
      <c r="B1" s="26"/>
      <c r="C1" s="26"/>
    </row>
    <row r="2" spans="1:3" ht="19" x14ac:dyDescent="0.25">
      <c r="A2" s="26" t="s">
        <v>52</v>
      </c>
      <c r="B2" s="26"/>
      <c r="C2" s="26"/>
    </row>
    <row r="4" spans="1:3" ht="19" x14ac:dyDescent="0.25">
      <c r="A4" s="23" t="s">
        <v>53</v>
      </c>
      <c r="B4" s="23" t="s">
        <v>3</v>
      </c>
    </row>
    <row r="5" spans="1:3" ht="19" x14ac:dyDescent="0.25">
      <c r="A5" s="3" t="s">
        <v>49</v>
      </c>
      <c r="B5" s="15">
        <f>'DCF Valuatiobn'!B9</f>
        <v>130.06319889820443</v>
      </c>
    </row>
    <row r="6" spans="1:3" ht="19" x14ac:dyDescent="0.25">
      <c r="A6" s="3" t="s">
        <v>47</v>
      </c>
      <c r="B6" s="15">
        <f>'DCF Valuatiobn'!B7</f>
        <v>1985979.5829221685</v>
      </c>
    </row>
    <row r="7" spans="1:3" ht="19" x14ac:dyDescent="0.25">
      <c r="A7" s="3" t="s">
        <v>48</v>
      </c>
      <c r="B7" s="15">
        <f>'DCF Valuatiobn'!B8</f>
        <v>2015979.5829221685</v>
      </c>
    </row>
    <row r="8" spans="1:3" ht="19" x14ac:dyDescent="0.25">
      <c r="A8" s="3" t="s">
        <v>30</v>
      </c>
      <c r="B8" s="18">
        <f>WACC!B13</f>
        <v>7.93875E-2</v>
      </c>
    </row>
    <row r="9" spans="1:3" ht="19" x14ac:dyDescent="0.25">
      <c r="A9" s="3" t="s">
        <v>24</v>
      </c>
      <c r="B9" s="3">
        <f>Assumptions!B11</f>
        <v>2301247.8160670246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WACC</vt:lpstr>
      <vt:lpstr>Historical</vt:lpstr>
      <vt:lpstr>Income Statement(S)</vt:lpstr>
      <vt:lpstr>Free Cash Flow</vt:lpstr>
      <vt:lpstr>DCF Valuatiobn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O'Connell</dc:creator>
  <cp:lastModifiedBy>Kieran O'Connell</cp:lastModifiedBy>
  <dcterms:created xsi:type="dcterms:W3CDTF">2026-03-17T04:01:21Z</dcterms:created>
  <dcterms:modified xsi:type="dcterms:W3CDTF">2026-03-19T21:02:05Z</dcterms:modified>
</cp:coreProperties>
</file>