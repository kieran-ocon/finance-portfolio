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ranoconnell/Desktop/portfolio - Main/"/>
    </mc:Choice>
  </mc:AlternateContent>
  <xr:revisionPtr revIDLastSave="0" documentId="13_ncr:1_{F51B81C1-E6B2-F946-B283-40892F315B5A}" xr6:coauthVersionLast="47" xr6:coauthVersionMax="47" xr10:uidLastSave="{00000000-0000-0000-0000-000000000000}"/>
  <bookViews>
    <workbookView xWindow="0" yWindow="600" windowWidth="38400" windowHeight="19780" activeTab="6" xr2:uid="{8336B80D-68BD-214C-A3D1-13CFBDD0A36D}"/>
  </bookViews>
  <sheets>
    <sheet name="README" sheetId="9" r:id="rId1"/>
    <sheet name="TRANSACTION" sheetId="3" r:id="rId2"/>
    <sheet name="INPUTS" sheetId="2" r:id="rId3"/>
    <sheet name="DEBT" sheetId="5" r:id="rId4"/>
    <sheet name="OPS" sheetId="6" r:id="rId5"/>
    <sheet name="FIN_STMNTS" sheetId="7" r:id="rId6"/>
    <sheet name="RETURNS" sheetId="8" r:id="rId7"/>
  </sheets>
  <definedNames>
    <definedName name="All_in_Rate">INPUTS!$B$13</definedName>
    <definedName name="Amoritization">INPUTS!$B$14</definedName>
    <definedName name="BaseRate">INPUTS!$B$11</definedName>
    <definedName name="Cash_Sweep">INPUTS!$B$15</definedName>
    <definedName name="Debt_EV">INPUTS!$B$9</definedName>
    <definedName name="Enterprise_Value">INPUTS!$B$4</definedName>
    <definedName name="Entry_EBITDA">INPUTS!$B$2</definedName>
    <definedName name="Entry_Multiple">INPUTS!$B$3</definedName>
    <definedName name="Exit_Multiple">INPUTS!$B$5</definedName>
    <definedName name="Holding_Period">INPUTS!$B$6</definedName>
    <definedName name="Min_Cash">INPUTS!$B$16</definedName>
    <definedName name="Spread_TLB">INPUTS!$B$12</definedName>
    <definedName name="Tax_Rate">INPUTS!$B$23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8" l="1"/>
  <c r="B27" i="8"/>
  <c r="B22" i="8"/>
  <c r="E9" i="5"/>
  <c r="D9" i="5"/>
  <c r="B2" i="6"/>
  <c r="C2" i="6" s="1"/>
  <c r="D2" i="6" s="1"/>
  <c r="E2" i="6" s="1"/>
  <c r="F2" i="6" s="1"/>
  <c r="B6" i="6"/>
  <c r="D6" i="5"/>
  <c r="C5" i="5"/>
  <c r="E7" i="5"/>
  <c r="F7" i="5"/>
  <c r="G7" i="5"/>
  <c r="H7" i="5"/>
  <c r="D7" i="5"/>
  <c r="B20" i="7" s="1" a="1"/>
  <c r="B20" i="7" s="1"/>
  <c r="B21" i="7" s="1"/>
  <c r="C4" i="5"/>
  <c r="D5" i="5"/>
  <c r="E5" i="5"/>
  <c r="F5" i="5"/>
  <c r="G5" i="5"/>
  <c r="H5" i="5"/>
  <c r="B12" i="3"/>
  <c r="E3" i="2" s="1"/>
  <c r="E4" i="2" s="1"/>
  <c r="B5" i="3"/>
  <c r="B1" i="3"/>
  <c r="B28" i="2"/>
  <c r="B23" i="7" s="1"/>
  <c r="B13" i="2"/>
  <c r="B10" i="2"/>
  <c r="B4" i="2"/>
  <c r="B4" i="3" s="1"/>
  <c r="B6" i="3" s="1"/>
  <c r="B8" i="3" s="1"/>
  <c r="B13" i="3" s="1"/>
  <c r="C3" i="9"/>
  <c r="E7" i="2" l="1"/>
  <c r="B3" i="6"/>
  <c r="B4" i="6" s="1"/>
  <c r="B5" i="6" s="1"/>
  <c r="B4" i="7" s="1"/>
  <c r="F21" i="7"/>
  <c r="E21" i="7"/>
  <c r="D21" i="7"/>
  <c r="C21" i="7"/>
  <c r="B10" i="6"/>
  <c r="C9" i="6"/>
  <c r="B9" i="6"/>
  <c r="C10" i="5"/>
  <c r="D3" i="5" s="1"/>
  <c r="E8" i="2" l="1"/>
  <c r="B7" i="6"/>
  <c r="B8" i="6" s="1"/>
  <c r="B11" i="6" s="1"/>
  <c r="D8" i="5" s="1"/>
  <c r="C10" i="6"/>
  <c r="C3" i="6"/>
  <c r="D3" i="6"/>
  <c r="D10" i="6"/>
  <c r="D9" i="6"/>
  <c r="D10" i="5"/>
  <c r="E3" i="5" l="1"/>
  <c r="B33" i="7"/>
  <c r="C35" i="7"/>
  <c r="D35" i="7"/>
  <c r="E35" i="7"/>
  <c r="F35" i="7"/>
  <c r="B12" i="8"/>
  <c r="B35" i="7"/>
  <c r="E9" i="2"/>
  <c r="E11" i="2" s="1"/>
  <c r="C6" i="6"/>
  <c r="D4" i="6"/>
  <c r="D5" i="6" s="1"/>
  <c r="D4" i="7" s="1"/>
  <c r="C4" i="6"/>
  <c r="C5" i="6" s="1"/>
  <c r="C4" i="7" s="1"/>
  <c r="E9" i="6"/>
  <c r="E3" i="6"/>
  <c r="B3" i="7" a="1"/>
  <c r="E10" i="6"/>
  <c r="E6" i="5"/>
  <c r="B3" i="7" l="1"/>
  <c r="E5" i="7"/>
  <c r="D5" i="7"/>
  <c r="D6" i="7" s="1"/>
  <c r="D14" i="7" s="1"/>
  <c r="E15" i="7"/>
  <c r="D15" i="7"/>
  <c r="C15" i="7"/>
  <c r="F15" i="7"/>
  <c r="F5" i="7"/>
  <c r="C5" i="7"/>
  <c r="C6" i="7" s="1"/>
  <c r="C14" i="7" s="1"/>
  <c r="C7" i="6"/>
  <c r="C8" i="6" s="1"/>
  <c r="C11" i="6" s="1"/>
  <c r="E8" i="5" s="1"/>
  <c r="E4" i="6"/>
  <c r="E5" i="6" s="1"/>
  <c r="E4" i="7" s="1"/>
  <c r="F9" i="6"/>
  <c r="B16" i="7" s="1" a="1"/>
  <c r="B16" i="7" s="1"/>
  <c r="F3" i="6"/>
  <c r="F10" i="6"/>
  <c r="B17" i="7" s="1" a="1"/>
  <c r="B17" i="7" s="1"/>
  <c r="E6" i="7" l="1"/>
  <c r="E14" i="7" s="1"/>
  <c r="E18" i="7" s="1"/>
  <c r="B5" i="7"/>
  <c r="B6" i="7" s="1"/>
  <c r="B14" i="7" s="1"/>
  <c r="B15" i="7"/>
  <c r="F4" i="6"/>
  <c r="F5" i="6" s="1"/>
  <c r="F4" i="7" s="1"/>
  <c r="B4" i="8" s="1"/>
  <c r="B6" i="8" s="1"/>
  <c r="C18" i="7"/>
  <c r="D18" i="7"/>
  <c r="B18" i="7"/>
  <c r="E10" i="5"/>
  <c r="F3" i="5" l="1"/>
  <c r="C33" i="7"/>
  <c r="F6" i="7"/>
  <c r="F14" i="7" s="1"/>
  <c r="F18" i="7" s="1"/>
  <c r="F6" i="5"/>
  <c r="D6" i="6"/>
  <c r="D7" i="6" l="1"/>
  <c r="D8" i="6" s="1"/>
  <c r="D11" i="6" s="1"/>
  <c r="F8" i="5" s="1"/>
  <c r="F9" i="5" s="1"/>
  <c r="F10" i="5" l="1"/>
  <c r="G3" i="5" l="1"/>
  <c r="D33" i="7"/>
  <c r="G6" i="5"/>
  <c r="E6" i="6"/>
  <c r="E7" i="6" l="1"/>
  <c r="E8" i="6" s="1"/>
  <c r="E11" i="6" s="1"/>
  <c r="G8" i="5" s="1"/>
  <c r="G9" i="5" s="1"/>
  <c r="G10" i="5" l="1"/>
  <c r="H3" i="5" l="1"/>
  <c r="E33" i="7"/>
  <c r="H6" i="5"/>
  <c r="B7" i="7" s="1" a="1"/>
  <c r="F6" i="6"/>
  <c r="F7" i="6" l="1"/>
  <c r="F8" i="6" s="1"/>
  <c r="F11" i="6" s="1"/>
  <c r="H8" i="5" s="1"/>
  <c r="H9" i="5" s="1"/>
  <c r="F8" i="7"/>
  <c r="B7" i="7"/>
  <c r="B8" i="7" s="1"/>
  <c r="E8" i="7"/>
  <c r="C8" i="7"/>
  <c r="D8" i="7"/>
  <c r="H10" i="5" l="1"/>
  <c r="D9" i="7"/>
  <c r="D10" i="7" s="1"/>
  <c r="C9" i="7"/>
  <c r="C10" i="7" s="1"/>
  <c r="E9" i="7"/>
  <c r="E10" i="7" s="1"/>
  <c r="B9" i="7"/>
  <c r="B10" i="7" s="1"/>
  <c r="B36" i="7" s="1"/>
  <c r="B37" i="7" s="1"/>
  <c r="F9" i="7"/>
  <c r="F10" i="7" s="1"/>
  <c r="F33" i="7" l="1"/>
  <c r="B8" i="8"/>
  <c r="C36" i="7"/>
  <c r="C37" i="7" s="1"/>
  <c r="D36" i="7"/>
  <c r="E22" i="7"/>
  <c r="C22" i="7"/>
  <c r="D22" i="7"/>
  <c r="F22" i="7"/>
  <c r="B22" i="7"/>
  <c r="B24" i="7" s="1"/>
  <c r="B29" i="7" s="1"/>
  <c r="B30" i="7" s="1"/>
  <c r="E36" i="7" l="1"/>
  <c r="D37" i="7"/>
  <c r="B31" i="7"/>
  <c r="C23" i="7"/>
  <c r="C24" i="7" s="1"/>
  <c r="C29" i="7" s="1"/>
  <c r="C30" i="7" s="1"/>
  <c r="C31" i="7" s="1"/>
  <c r="E37" i="7" l="1"/>
  <c r="F36" i="7"/>
  <c r="F37" i="7" s="1"/>
  <c r="D23" i="7"/>
  <c r="D24" i="7" s="1"/>
  <c r="D29" i="7" s="1"/>
  <c r="D30" i="7" s="1"/>
  <c r="D31" i="7" s="1"/>
  <c r="E23" i="7" l="1"/>
  <c r="E24" i="7" s="1"/>
  <c r="E29" i="7" s="1"/>
  <c r="E30" i="7" s="1"/>
  <c r="E31" i="7" s="1"/>
  <c r="F23" i="7" l="1"/>
  <c r="F24" i="7" s="1"/>
  <c r="F29" i="7" l="1"/>
  <c r="F30" i="7" s="1"/>
  <c r="F31" i="7" s="1"/>
  <c r="B9" i="8"/>
  <c r="B10" i="8" s="1"/>
  <c r="G15" i="8" l="1"/>
  <c r="B16" i="8" s="1"/>
  <c r="B1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<sst xmlns="http://schemas.openxmlformats.org/spreadsheetml/2006/main" count="151" uniqueCount="125">
  <si>
    <t xml:space="preserve">Model Name: Private Equity LBO &amp; Acquisition Model - Sample Deal Analysis </t>
  </si>
  <si>
    <t>Purpose: Evaluate acqiusition of TargetCo using leveraged buyout structure</t>
  </si>
  <si>
    <t>Transaction Assumptions</t>
  </si>
  <si>
    <t>Entry EBITDA:</t>
  </si>
  <si>
    <t>Entry Multiple:</t>
  </si>
  <si>
    <t>Enterprise Value:</t>
  </si>
  <si>
    <t>Exit Multiple:</t>
  </si>
  <si>
    <t>Holding Period (Yrs)</t>
  </si>
  <si>
    <t>Financing Assumptions</t>
  </si>
  <si>
    <t>Debt % of EV</t>
  </si>
  <si>
    <t>Equity %</t>
  </si>
  <si>
    <t>Interest Rate (Base)</t>
  </si>
  <si>
    <t>Spread (TLB)</t>
  </si>
  <si>
    <t>All-in Rate</t>
  </si>
  <si>
    <t>Amoritization %</t>
  </si>
  <si>
    <t>Cash Sweep</t>
  </si>
  <si>
    <t>Minimum Cash</t>
  </si>
  <si>
    <t>Operating Assumptions</t>
  </si>
  <si>
    <t>Revenue Growth</t>
  </si>
  <si>
    <t>EBITDA Margin</t>
  </si>
  <si>
    <t>CapEX % Revenue</t>
  </si>
  <si>
    <t>Tax Rate</t>
  </si>
  <si>
    <t>Change in NWC % Revenue</t>
  </si>
  <si>
    <t>Synergies</t>
  </si>
  <si>
    <t>Revenue Synergy Growth</t>
  </si>
  <si>
    <t>Cost Synergy (% Of EBITDA)</t>
  </si>
  <si>
    <t>Integration Costs (One Time)</t>
  </si>
  <si>
    <t>Net Debt:</t>
  </si>
  <si>
    <t>Debt Raised:</t>
  </si>
  <si>
    <t>Equity Purchase Price</t>
  </si>
  <si>
    <t>Cash Acquiried:</t>
  </si>
  <si>
    <t>Fees:</t>
  </si>
  <si>
    <t>Transaction Fees (% of EV):</t>
  </si>
  <si>
    <t>Uses:</t>
  </si>
  <si>
    <t>Transaction Fees</t>
  </si>
  <si>
    <t>Total Uses</t>
  </si>
  <si>
    <t>Debt Issued</t>
  </si>
  <si>
    <t>Equity Contribution</t>
  </si>
  <si>
    <t>Total Sources</t>
  </si>
  <si>
    <t>Sources:</t>
  </si>
  <si>
    <t>Sources - Uses</t>
  </si>
  <si>
    <t>Year</t>
  </si>
  <si>
    <t>Amoritization</t>
  </si>
  <si>
    <t>Ending Debt</t>
  </si>
  <si>
    <t>Debt Schedule:</t>
  </si>
  <si>
    <t>Interest Rate</t>
  </si>
  <si>
    <t>Interest Expense</t>
  </si>
  <si>
    <t>Cash Available</t>
  </si>
  <si>
    <t>Optional Sweep</t>
  </si>
  <si>
    <t>Beg Debt</t>
  </si>
  <si>
    <t>Year 1:</t>
  </si>
  <si>
    <t>Revenue</t>
  </si>
  <si>
    <t>EBITDA</t>
  </si>
  <si>
    <t>FCF</t>
  </si>
  <si>
    <t>Year 2:</t>
  </si>
  <si>
    <t>Year 3</t>
  </si>
  <si>
    <t>Year 4:</t>
  </si>
  <si>
    <t>Year 5:</t>
  </si>
  <si>
    <t>EBITDA w/ Synergy</t>
  </si>
  <si>
    <t xml:space="preserve">Taxes </t>
  </si>
  <si>
    <t>CapEX</t>
  </si>
  <si>
    <t>Change in NWC</t>
  </si>
  <si>
    <t>OPS:</t>
  </si>
  <si>
    <t>Equity Contribution:</t>
  </si>
  <si>
    <t>Debt Issued:</t>
  </si>
  <si>
    <t>Synergy:</t>
  </si>
  <si>
    <t>Interest</t>
  </si>
  <si>
    <t>EBT</t>
  </si>
  <si>
    <t>Revenue:</t>
  </si>
  <si>
    <t>Taxes</t>
  </si>
  <si>
    <t>Net Income</t>
  </si>
  <si>
    <t>D&amp;A</t>
  </si>
  <si>
    <t>CapEx</t>
  </si>
  <si>
    <t>Change In NWC</t>
  </si>
  <si>
    <t>Debt Impact</t>
  </si>
  <si>
    <t>Cash Change</t>
  </si>
  <si>
    <t>Ending Cash</t>
  </si>
  <si>
    <t>Amortization</t>
  </si>
  <si>
    <t>Total Debt Impact</t>
  </si>
  <si>
    <t>Beg Cash</t>
  </si>
  <si>
    <t>Simplifid Balance Sheet</t>
  </si>
  <si>
    <t>Equity</t>
  </si>
  <si>
    <t>Initial Equity</t>
  </si>
  <si>
    <t>RE</t>
  </si>
  <si>
    <t>EBIT</t>
  </si>
  <si>
    <t>EBI</t>
  </si>
  <si>
    <t>Assets:</t>
  </si>
  <si>
    <t xml:space="preserve">Cash </t>
  </si>
  <si>
    <t>Operating Assets:</t>
  </si>
  <si>
    <t>Liabilities:</t>
  </si>
  <si>
    <t>Debt</t>
  </si>
  <si>
    <t>Liabilites + SE</t>
  </si>
  <si>
    <t>Total Assets</t>
  </si>
  <si>
    <t>Simplified Cash Flow Statement</t>
  </si>
  <si>
    <t>Simplified Income Statement</t>
  </si>
  <si>
    <t>Returns Analysis</t>
  </si>
  <si>
    <t xml:space="preserve">Exit EBITDA:           </t>
  </si>
  <si>
    <t>Exit Enterprise Value:</t>
  </si>
  <si>
    <t>Less: Ending Debt:</t>
  </si>
  <si>
    <t>Add: Cash:</t>
  </si>
  <si>
    <t>Equity Value at Exit:</t>
  </si>
  <si>
    <t>Initial Equity Invested:</t>
  </si>
  <si>
    <t>MOIC:</t>
  </si>
  <si>
    <t>IRR:</t>
  </si>
  <si>
    <t xml:space="preserve">Exit Year:              </t>
  </si>
  <si>
    <t xml:space="preserve">Exit Multiple:       </t>
  </si>
  <si>
    <t>Year 0</t>
  </si>
  <si>
    <t>Year 1</t>
  </si>
  <si>
    <t>Year 2</t>
  </si>
  <si>
    <t>Year 4</t>
  </si>
  <si>
    <t>Year 5</t>
  </si>
  <si>
    <t xml:space="preserve">Cash Flow </t>
  </si>
  <si>
    <t>Revenue Growth (Driver)</t>
  </si>
  <si>
    <t>Unlevered Cash flow</t>
  </si>
  <si>
    <t>Value Creation Bridge</t>
  </si>
  <si>
    <t xml:space="preserve">Entry Enterprise value </t>
  </si>
  <si>
    <t>EBITDA Growth</t>
  </si>
  <si>
    <t>Multiple expansion</t>
  </si>
  <si>
    <t xml:space="preserve">Exit Enterprise </t>
  </si>
  <si>
    <t>Equity Value Creation</t>
  </si>
  <si>
    <t>Cash</t>
  </si>
  <si>
    <t>Equity Value</t>
  </si>
  <si>
    <t>Gain</t>
  </si>
  <si>
    <t>Net Debt</t>
  </si>
  <si>
    <t>By: Kieran O'Connell |Accounting and Finance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</si>
</sst>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i/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i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7">
    <xf numFmtId="0" fontId="0" fillId="0" borderId="0" xfId="0"/>
    <xf numFmtId="0" fontId="4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 indent="1"/>
    </xf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9" fontId="3" fillId="3" borderId="0" xfId="0" applyNumberFormat="1" applyFont="1" applyFill="1"/>
    <xf numFmtId="9" fontId="0" fillId="0" borderId="0" xfId="0" applyNumberFormat="1"/>
    <xf numFmtId="9" fontId="0" fillId="3" borderId="0" xfId="0" applyNumberFormat="1" applyFill="1"/>
    <xf numFmtId="2" fontId="0" fillId="0" borderId="0" xfId="0" applyNumberFormat="1"/>
    <xf numFmtId="0" fontId="4" fillId="2" borderId="0" xfId="0" applyFont="1" applyFill="1"/>
    <xf numFmtId="0" fontId="7" fillId="2" borderId="0" xfId="0" applyFont="1" applyFill="1"/>
    <xf numFmtId="1" fontId="0" fillId="3" borderId="0" xfId="0" applyNumberFormat="1" applyFill="1"/>
    <xf numFmtId="9" fontId="0" fillId="3" borderId="0" xfId="1" applyFont="1" applyFill="1"/>
    <xf numFmtId="0" fontId="7" fillId="2" borderId="0" xfId="0" applyFont="1" applyFill="1" applyAlignment="1">
      <alignment horizontal="right"/>
    </xf>
    <xf numFmtId="0" fontId="0" fillId="3" borderId="0" xfId="0" applyFill="1" applyAlignment="1">
      <alignment horizontal="left" indent="2"/>
    </xf>
    <xf numFmtId="0" fontId="0" fillId="3" borderId="0" xfId="0" applyFill="1" applyAlignment="1">
      <alignment horizontal="left"/>
    </xf>
    <xf numFmtId="0" fontId="0" fillId="3" borderId="1" xfId="0" applyFill="1" applyBorder="1"/>
    <xf numFmtId="1" fontId="0" fillId="3" borderId="1" xfId="0" applyNumberFormat="1" applyFill="1" applyBorder="1"/>
    <xf numFmtId="0" fontId="0" fillId="3" borderId="2" xfId="0" applyFill="1" applyBorder="1"/>
    <xf numFmtId="1" fontId="0" fillId="3" borderId="2" xfId="0" applyNumberFormat="1" applyFill="1" applyBorder="1"/>
    <xf numFmtId="0" fontId="0" fillId="3" borderId="1" xfId="0" applyFill="1" applyBorder="1" applyAlignment="1">
      <alignment horizontal="left" indent="2"/>
    </xf>
    <xf numFmtId="0" fontId="0" fillId="2" borderId="0" xfId="0" applyFill="1"/>
    <xf numFmtId="0" fontId="10" fillId="3" borderId="0" xfId="0" applyFont="1" applyFill="1"/>
    <xf numFmtId="0" fontId="0" fillId="3" borderId="1" xfId="0" applyFill="1" applyBorder="1" applyAlignment="1">
      <alignment horizontal="left"/>
    </xf>
    <xf numFmtId="1" fontId="11" fillId="4" borderId="0" xfId="0" applyNumberFormat="1" applyFont="1" applyFill="1"/>
    <xf numFmtId="2" fontId="0" fillId="3" borderId="0" xfId="0" applyNumberFormat="1" applyFill="1"/>
    <xf numFmtId="164" fontId="0" fillId="0" borderId="0" xfId="1" applyNumberFormat="1" applyFont="1"/>
    <xf numFmtId="2" fontId="3" fillId="3" borderId="0" xfId="0" applyNumberFormat="1" applyFont="1" applyFill="1"/>
    <xf numFmtId="164" fontId="7" fillId="0" borderId="0" xfId="1" applyNumberFormat="1" applyFont="1"/>
    <xf numFmtId="2" fontId="6" fillId="0" borderId="0" xfId="1" applyNumberFormat="1" applyFont="1"/>
    <xf numFmtId="164" fontId="10" fillId="3" borderId="0" xfId="1" applyNumberFormat="1" applyFont="1" applyFill="1"/>
    <xf numFmtId="2" fontId="10" fillId="3" borderId="0" xfId="1" applyNumberFormat="1" applyFont="1" applyFill="1"/>
    <xf numFmtId="164" fontId="10" fillId="3" borderId="1" xfId="1" applyNumberFormat="1" applyFont="1" applyFill="1" applyBorder="1"/>
    <xf numFmtId="0" fontId="10" fillId="3" borderId="1" xfId="1" applyNumberFormat="1" applyFont="1" applyFill="1" applyBorder="1"/>
    <xf numFmtId="0" fontId="0" fillId="0" borderId="0" xfId="0" applyAlignment="1">
      <alignment horizontal="left" inden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4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101600</xdr:rowOff>
    </xdr:from>
    <xdr:to>
      <xdr:col>12</xdr:col>
      <xdr:colOff>317500</xdr:colOff>
      <xdr:row>61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AFC50C-29A4-3A9D-4303-D9D2C4C14D31}"/>
            </a:ext>
          </a:extLst>
        </xdr:cNvPr>
        <xdr:cNvSpPr txBox="1"/>
      </xdr:nvSpPr>
      <xdr:spPr>
        <a:xfrm>
          <a:off x="0" y="990600"/>
          <a:ext cx="11150600" cy="1167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400" b="1"/>
            <a:t>Overview</a:t>
          </a:r>
        </a:p>
        <a:p>
          <a:r>
            <a:rPr lang="en-CA" sz="1400"/>
            <a:t>This project is a leveraged buyout (LBO) model that evaluates the acquisition of a target company using debt and equity financing. It demonstrates how private equity firms structure deals and generate returns through operational improvements and financial leverage.</a:t>
          </a:r>
        </a:p>
        <a:p>
          <a:endParaRPr lang="en-CA" sz="1400"/>
        </a:p>
        <a:p>
          <a:r>
            <a:rPr lang="en-CA" sz="1400" b="1"/>
            <a:t>Key Features</a:t>
          </a:r>
        </a:p>
        <a:p>
          <a:r>
            <a:rPr lang="en-CA" sz="1400" b="1"/>
            <a:t>Transaction Structure</a:t>
          </a:r>
        </a:p>
        <a:p>
          <a:r>
            <a:rPr lang="en-CA" sz="1400"/>
            <a:t>Entry Enterprise Value: $1,000</a:t>
          </a:r>
        </a:p>
        <a:p>
          <a:r>
            <a:rPr lang="en-CA" sz="1400"/>
            <a:t>Entry Multiple: 10.0x EBITDA</a:t>
          </a:r>
        </a:p>
        <a:p>
          <a:r>
            <a:rPr lang="en-CA" sz="1400"/>
            <a:t>Debt Financing: 60%</a:t>
          </a:r>
        </a:p>
        <a:p>
          <a:r>
            <a:rPr lang="en-CA" sz="1400"/>
            <a:t>Equity Contribution: 40%</a:t>
          </a:r>
        </a:p>
        <a:p>
          <a:r>
            <a:rPr lang="en-CA" sz="1400"/>
            <a:t>Transaction Fees: 2%</a:t>
          </a:r>
        </a:p>
        <a:p>
          <a:br>
            <a:rPr lang="en-CA" sz="1400"/>
          </a:br>
          <a:endParaRPr lang="en-CA" sz="1400"/>
        </a:p>
        <a:p>
          <a:r>
            <a:rPr lang="en-CA" sz="1400" b="1"/>
            <a:t>Debt &amp; Financing</a:t>
          </a:r>
        </a:p>
        <a:p>
          <a:r>
            <a:rPr lang="en-CA" sz="1400"/>
            <a:t>Debt at 8% interest rate</a:t>
          </a:r>
        </a:p>
        <a:p>
          <a:r>
            <a:rPr lang="en-CA" sz="1400"/>
            <a:t>5% annual amortization</a:t>
          </a:r>
        </a:p>
        <a:p>
          <a:r>
            <a:rPr lang="en-CA" sz="1400"/>
            <a:t>Excess cash used for debt repayment (cash sweep)</a:t>
          </a:r>
        </a:p>
        <a:p>
          <a:r>
            <a:rPr lang="en-CA" sz="1400"/>
            <a:t>Minimum cash balance maintained</a:t>
          </a:r>
        </a:p>
        <a:p>
          <a:br>
            <a:rPr lang="en-CA" sz="1400"/>
          </a:br>
          <a:br>
            <a:rPr lang="en-CA" sz="1400"/>
          </a:br>
          <a:endParaRPr lang="en-CA" sz="1400"/>
        </a:p>
        <a:p>
          <a:r>
            <a:rPr lang="en-CA" sz="1400" b="1"/>
            <a:t>Returns Analysis</a:t>
          </a:r>
        </a:p>
        <a:p>
          <a:r>
            <a:rPr lang="en-CA" sz="1400"/>
            <a:t>Exit after 5 years at 11.0x EBITDA</a:t>
          </a:r>
        </a:p>
        <a:p>
          <a:r>
            <a:rPr lang="en-CA" sz="1400"/>
            <a:t>Exit Enterprise Value: $1,474</a:t>
          </a:r>
        </a:p>
        <a:p>
          <a:r>
            <a:rPr lang="en-CA" sz="1400"/>
            <a:t>Equity Value at Exit: $1,334</a:t>
          </a:r>
        </a:p>
        <a:p>
          <a:r>
            <a:rPr lang="en-CA" sz="1400" b="1"/>
            <a:t>Investor Returns:</a:t>
          </a:r>
          <a:endParaRPr lang="en-CA" sz="1400"/>
        </a:p>
        <a:p>
          <a:r>
            <a:rPr lang="en-CA" sz="1400"/>
            <a:t>MOIC: 2.94x</a:t>
          </a:r>
        </a:p>
        <a:p>
          <a:r>
            <a:rPr lang="en-CA" sz="1400"/>
            <a:t>IRR: 26%</a:t>
          </a:r>
        </a:p>
        <a:p>
          <a:br>
            <a:rPr lang="en-CA" sz="1400"/>
          </a:br>
          <a:endParaRPr lang="en-CA" sz="1400"/>
        </a:p>
        <a:p>
          <a:r>
            <a:rPr lang="en-CA" sz="1400" b="1"/>
            <a:t>Value Creation Drivers</a:t>
          </a:r>
        </a:p>
        <a:p>
          <a:r>
            <a:rPr lang="en-CA" sz="1400"/>
            <a:t>Returns are driven by:</a:t>
          </a:r>
        </a:p>
        <a:p>
          <a:r>
            <a:rPr lang="en-CA" sz="1400" b="1"/>
            <a:t>EBITDA Growth (+$340)</a:t>
          </a:r>
          <a:br>
            <a:rPr lang="en-CA" sz="1400"/>
          </a:br>
          <a:r>
            <a:rPr lang="en-CA" sz="1400"/>
            <a:t>Revenue growth and synergies</a:t>
          </a:r>
        </a:p>
        <a:p>
          <a:r>
            <a:rPr lang="en-CA" sz="1400" b="1"/>
            <a:t>Multiple Expansion (+$134)</a:t>
          </a:r>
          <a:br>
            <a:rPr lang="en-CA" sz="1400"/>
          </a:br>
          <a:r>
            <a:rPr lang="en-CA" sz="1400"/>
            <a:t>Expansion from 10.0x to 11.0x</a:t>
          </a:r>
        </a:p>
        <a:p>
          <a:r>
            <a:rPr lang="en-CA" sz="1400" b="1"/>
            <a:t>Debt Paydown (+$248)</a:t>
          </a:r>
          <a:br>
            <a:rPr lang="en-CA" sz="1400"/>
          </a:br>
          <a:r>
            <a:rPr lang="en-CA" sz="1400"/>
            <a:t>Deleveraging through cash flow</a:t>
          </a:r>
        </a:p>
        <a:p>
          <a:br>
            <a:rPr lang="en-CA" sz="1400"/>
          </a:br>
          <a:endParaRPr lang="en-CA" sz="1400"/>
        </a:p>
        <a:p>
          <a:r>
            <a:rPr lang="en-CA" sz="1400" b="1"/>
            <a:t>Key Takeaways</a:t>
          </a:r>
        </a:p>
        <a:p>
          <a:r>
            <a:rPr lang="en-CA" sz="1400"/>
            <a:t>This model shows how private equity creates value through operations, capital structure, and exit strategy.</a:t>
          </a:r>
        </a:p>
        <a:p>
          <a:r>
            <a:rPr lang="en-CA" sz="1400"/>
            <a:t>It demonstrates understanding of:</a:t>
          </a:r>
        </a:p>
        <a:p>
          <a:r>
            <a:rPr lang="en-CA" sz="1400"/>
            <a:t>Leveraged finance</a:t>
          </a:r>
        </a:p>
        <a:p>
          <a:r>
            <a:rPr lang="en-CA" sz="1400"/>
            <a:t>Investment decision-making</a:t>
          </a:r>
        </a:p>
        <a:p>
          <a:r>
            <a:rPr lang="en-CA" sz="1400"/>
            <a:t>Financial modeling</a:t>
          </a:r>
          <a:br>
            <a:rPr lang="en-CA" sz="1400"/>
          </a:br>
          <a:endParaRPr lang="en-CA" sz="1400"/>
        </a:p>
        <a:p>
          <a:r>
            <a:rPr lang="en-CA" sz="1400" b="1"/>
            <a:t>Notes</a:t>
          </a:r>
        </a:p>
        <a:p>
          <a:r>
            <a:rPr lang="en-CA" sz="1400"/>
            <a:t>This model is for educational and portfolio purposes and is not based on a real transaction.</a:t>
          </a:r>
        </a:p>
        <a:p>
          <a:endParaRPr lang="en-US" sz="1100"/>
        </a:p>
      </xdr:txBody>
    </xdr:sp>
    <xdr:clientData/>
  </xdr:twoCellAnchor>
  <xdr:twoCellAnchor>
    <xdr:from>
      <xdr:col>3</xdr:col>
      <xdr:colOff>736600</xdr:colOff>
      <xdr:row>8</xdr:row>
      <xdr:rowOff>165100</xdr:rowOff>
    </xdr:from>
    <xdr:to>
      <xdr:col>8</xdr:col>
      <xdr:colOff>304800</xdr:colOff>
      <xdr:row>18</xdr:row>
      <xdr:rowOff>177800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C08039-6F2A-8910-7EB4-1CC3D95C2240}"/>
            </a:ext>
          </a:extLst>
        </xdr:cNvPr>
        <xdr:cNvSpPr txBox="1"/>
      </xdr:nvSpPr>
      <xdr:spPr>
        <a:xfrm>
          <a:off x="4305300" y="1866900"/>
          <a:ext cx="3530600" cy="2044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400" b="1"/>
            <a:t>Operating Model</a:t>
          </a:r>
        </a:p>
        <a:p>
          <a:r>
            <a:rPr lang="en-CA" sz="1400"/>
            <a:t>Revenue growth at 5% annually</a:t>
          </a:r>
        </a:p>
        <a:p>
          <a:r>
            <a:rPr lang="en-CA" sz="1400"/>
            <a:t>EBITDA margin at 25%</a:t>
          </a:r>
        </a:p>
        <a:p>
          <a:r>
            <a:rPr lang="en-CA" sz="1400"/>
            <a:t>Synergies include:</a:t>
          </a:r>
        </a:p>
        <a:p>
          <a:pPr lvl="1"/>
          <a:r>
            <a:rPr lang="en-CA" sz="1400"/>
            <a:t>2% revenue uplift</a:t>
          </a:r>
        </a:p>
        <a:p>
          <a:pPr lvl="1"/>
          <a:r>
            <a:rPr lang="en-CA" sz="1400"/>
            <a:t>5% cost savings</a:t>
          </a:r>
        </a:p>
        <a:p>
          <a:r>
            <a:rPr lang="en-CA" sz="1400"/>
            <a:t>Capex and working capital modeled as % of revenue</a:t>
          </a:r>
        </a:p>
        <a:p>
          <a:br>
            <a:rPr lang="en-CA" sz="1400"/>
          </a:br>
          <a:endParaRPr lang="en-CA" sz="1400"/>
        </a:p>
        <a:p>
          <a:endParaRPr lang="en-US" sz="1100"/>
        </a:p>
      </xdr:txBody>
    </xdr:sp>
    <xdr:clientData/>
  </xdr:twoCellAnchor>
  <xdr:twoCellAnchor>
    <xdr:from>
      <xdr:col>3</xdr:col>
      <xdr:colOff>736600</xdr:colOff>
      <xdr:row>16</xdr:row>
      <xdr:rowOff>190500</xdr:rowOff>
    </xdr:from>
    <xdr:to>
      <xdr:col>8</xdr:col>
      <xdr:colOff>304800</xdr:colOff>
      <xdr:row>26</xdr:row>
      <xdr:rowOff>12700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3BA548D-88FF-6842-AB1E-8DBC07FA6AC2}"/>
            </a:ext>
          </a:extLst>
        </xdr:cNvPr>
        <xdr:cNvSpPr txBox="1"/>
      </xdr:nvSpPr>
      <xdr:spPr>
        <a:xfrm>
          <a:off x="4305300" y="3517900"/>
          <a:ext cx="3530600" cy="1854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CA" sz="1400"/>
        </a:p>
        <a:p>
          <a:r>
            <a:rPr lang="en-CA" sz="1400" b="1"/>
            <a:t>Financial Statements</a:t>
          </a:r>
        </a:p>
        <a:p>
          <a:r>
            <a:rPr lang="en-CA" sz="1400"/>
            <a:t>Fully linked 3-statement model:</a:t>
          </a:r>
        </a:p>
        <a:p>
          <a:pPr lvl="1"/>
          <a:r>
            <a:rPr lang="en-CA" sz="1400"/>
            <a:t>Income Statement</a:t>
          </a:r>
        </a:p>
        <a:p>
          <a:pPr lvl="1"/>
          <a:r>
            <a:rPr lang="en-CA" sz="1400"/>
            <a:t>Cash Flow Statement</a:t>
          </a:r>
        </a:p>
        <a:p>
          <a:pPr lvl="1"/>
          <a:r>
            <a:rPr lang="en-CA" sz="1400"/>
            <a:t>Balance Sheet</a:t>
          </a:r>
        </a:p>
        <a:p>
          <a:r>
            <a:rPr lang="en-CA" sz="1400"/>
            <a:t>Cash flow drives debt reduction and equity value</a:t>
          </a:r>
        </a:p>
        <a:p>
          <a:br>
            <a:rPr lang="en-CA" sz="1400"/>
          </a:br>
          <a:endParaRPr lang="en-CA" sz="1400"/>
        </a:p>
        <a:p>
          <a:endParaRPr lang="en-US" sz="1100"/>
        </a:p>
      </xdr:txBody>
    </xdr:sp>
    <xdr:clientData/>
  </xdr:twoCellAnchor>
  <xdr:twoCellAnchor>
    <xdr:from>
      <xdr:col>3</xdr:col>
      <xdr:colOff>711200</xdr:colOff>
      <xdr:row>26</xdr:row>
      <xdr:rowOff>139700</xdr:rowOff>
    </xdr:from>
    <xdr:to>
      <xdr:col>8</xdr:col>
      <xdr:colOff>279400</xdr:colOff>
      <xdr:row>36</xdr:row>
      <xdr:rowOff>50800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EFC8BD9-93F4-944F-9B40-FBDC1D8CF1DE}"/>
            </a:ext>
          </a:extLst>
        </xdr:cNvPr>
        <xdr:cNvSpPr txBox="1"/>
      </xdr:nvSpPr>
      <xdr:spPr>
        <a:xfrm>
          <a:off x="4279900" y="5499100"/>
          <a:ext cx="3530600" cy="19431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400" b="1"/>
            <a:t>Excel Skills Demonstrated</a:t>
          </a:r>
        </a:p>
        <a:p>
          <a:r>
            <a:rPr lang="en-CA" sz="1400"/>
            <a:t>3-statement modeling</a:t>
          </a:r>
        </a:p>
        <a:p>
          <a:r>
            <a:rPr lang="en-CA" sz="1400"/>
            <a:t>LBO structuring</a:t>
          </a:r>
        </a:p>
        <a:p>
          <a:r>
            <a:rPr lang="en-CA" sz="1400"/>
            <a:t>Debt scheduling</a:t>
          </a:r>
        </a:p>
        <a:p>
          <a:r>
            <a:rPr lang="en-CA" sz="1400"/>
            <a:t>Cash flow modeling (CFADS)</a:t>
          </a:r>
        </a:p>
        <a:p>
          <a:r>
            <a:rPr lang="en-CA" sz="1400"/>
            <a:t>Dynamic linking</a:t>
          </a:r>
        </a:p>
        <a:p>
          <a:r>
            <a:rPr lang="en-CA" sz="1400"/>
            <a:t>Returns analysis (IRR, MOIC)</a:t>
          </a:r>
        </a:p>
        <a:p>
          <a:r>
            <a:rPr lang="en-CA" sz="1400"/>
            <a:t>Value creation analysis</a:t>
          </a:r>
        </a:p>
        <a:p>
          <a:br>
            <a:rPr lang="en-CA" sz="1400"/>
          </a:br>
          <a:endParaRPr lang="en-CA" sz="14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CBA7-2761-9842-993B-C65F54A4BC7E}">
  <dimension ref="A1:G14"/>
  <sheetViews>
    <sheetView showGridLines="0" topLeftCell="A5" workbookViewId="0">
      <selection activeCell="Q16" sqref="Q16"/>
    </sheetView>
  </sheetViews>
  <sheetFormatPr baseColWidth="10" defaultRowHeight="16" x14ac:dyDescent="0.2"/>
  <cols>
    <col min="1" max="1" width="11" customWidth="1"/>
    <col min="2" max="2" width="25" customWidth="1"/>
    <col min="4" max="4" width="14" customWidth="1"/>
    <col min="5" max="5" width="16.6640625" customWidth="1"/>
    <col min="6" max="6" width="4.5" customWidth="1"/>
    <col min="7" max="7" width="6" customWidth="1"/>
  </cols>
  <sheetData>
    <row r="1" spans="1:7" ht="19" x14ac:dyDescent="0.25">
      <c r="A1" s="38" t="s">
        <v>0</v>
      </c>
      <c r="B1" s="38"/>
      <c r="C1" s="38"/>
      <c r="D1" s="38"/>
      <c r="E1" s="38"/>
      <c r="F1" s="38"/>
      <c r="G1" s="38"/>
    </row>
    <row r="2" spans="1:7" ht="19" x14ac:dyDescent="0.25">
      <c r="A2" s="38" t="s">
        <v>1</v>
      </c>
      <c r="B2" s="38"/>
      <c r="C2" s="38"/>
      <c r="D2" s="38"/>
      <c r="E2" s="38"/>
      <c r="F2" s="38"/>
      <c r="G2" s="38"/>
    </row>
    <row r="3" spans="1:7" x14ac:dyDescent="0.2">
      <c r="C3" s="39">
        <f ca="1">TODAY()</f>
        <v>46102</v>
      </c>
      <c r="D3" s="39"/>
    </row>
    <row r="4" spans="1:7" x14ac:dyDescent="0.2">
      <c r="B4" s="40" t="s">
        <v>124</v>
      </c>
      <c r="C4" s="40"/>
      <c r="D4" s="40"/>
      <c r="E4" s="40"/>
    </row>
    <row r="5" spans="1:7" x14ac:dyDescent="0.2">
      <c r="A5" s="37"/>
      <c r="B5" s="37"/>
      <c r="D5" s="37"/>
      <c r="E5" s="37"/>
    </row>
    <row r="9" spans="1:7" x14ac:dyDescent="0.2">
      <c r="A9" s="37"/>
      <c r="B9" s="37"/>
      <c r="D9" s="37"/>
      <c r="E9" s="37"/>
    </row>
    <row r="10" spans="1:7" x14ac:dyDescent="0.2">
      <c r="A10" s="36"/>
      <c r="B10" s="36"/>
      <c r="D10" s="36"/>
    </row>
    <row r="11" spans="1:7" x14ac:dyDescent="0.2">
      <c r="A11" s="36"/>
      <c r="B11" s="36"/>
      <c r="D11" s="36"/>
    </row>
    <row r="12" spans="1:7" x14ac:dyDescent="0.2">
      <c r="A12" s="36"/>
      <c r="B12" s="36"/>
      <c r="D12" s="36"/>
    </row>
    <row r="13" spans="1:7" x14ac:dyDescent="0.2">
      <c r="A13" s="36"/>
      <c r="B13" s="36"/>
      <c r="D13" s="36"/>
    </row>
    <row r="14" spans="1:7" x14ac:dyDescent="0.2">
      <c r="A14" s="36"/>
      <c r="B14" s="36"/>
    </row>
  </sheetData>
  <mergeCells count="8">
    <mergeCell ref="A9:B9"/>
    <mergeCell ref="D9:E9"/>
    <mergeCell ref="D5:E5"/>
    <mergeCell ref="A1:G1"/>
    <mergeCell ref="A2:G2"/>
    <mergeCell ref="C3:D3"/>
    <mergeCell ref="A5:B5"/>
    <mergeCell ref="B4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522D-0C5D-9044-9396-68E3245B7A62}">
  <dimension ref="A1:B13"/>
  <sheetViews>
    <sheetView showGridLines="0" workbookViewId="0">
      <selection sqref="A1:B13"/>
    </sheetView>
  </sheetViews>
  <sheetFormatPr baseColWidth="10" defaultRowHeight="16" x14ac:dyDescent="0.2"/>
  <cols>
    <col min="1" max="1" width="18.6640625" bestFit="1" customWidth="1"/>
  </cols>
  <sheetData>
    <row r="1" spans="1:2" x14ac:dyDescent="0.2">
      <c r="A1" s="2" t="s">
        <v>5</v>
      </c>
      <c r="B1" s="2">
        <f>Entry_Multiple * Entry_EBITDA</f>
        <v>1000</v>
      </c>
    </row>
    <row r="3" spans="1:2" x14ac:dyDescent="0.2">
      <c r="A3" s="41" t="s">
        <v>27</v>
      </c>
      <c r="B3" s="41"/>
    </row>
    <row r="4" spans="1:2" x14ac:dyDescent="0.2">
      <c r="A4" s="2" t="s">
        <v>28</v>
      </c>
      <c r="B4" s="2">
        <f>Enterprise_Value * Debt_EV</f>
        <v>600</v>
      </c>
    </row>
    <row r="5" spans="1:2" x14ac:dyDescent="0.2">
      <c r="A5" s="2" t="s">
        <v>30</v>
      </c>
      <c r="B5" s="2">
        <f>0</f>
        <v>0</v>
      </c>
    </row>
    <row r="6" spans="1:2" x14ac:dyDescent="0.2">
      <c r="A6" s="2" t="s">
        <v>27</v>
      </c>
      <c r="B6" s="2">
        <f>B4-B5</f>
        <v>600</v>
      </c>
    </row>
    <row r="7" spans="1:2" x14ac:dyDescent="0.2">
      <c r="A7" s="2"/>
      <c r="B7" s="2"/>
    </row>
    <row r="8" spans="1:2" x14ac:dyDescent="0.2">
      <c r="A8" s="2" t="s">
        <v>29</v>
      </c>
      <c r="B8" s="2">
        <f>Enterprise_Value-B6</f>
        <v>400</v>
      </c>
    </row>
    <row r="10" spans="1:2" x14ac:dyDescent="0.2">
      <c r="A10" s="41" t="s">
        <v>31</v>
      </c>
      <c r="B10" s="41"/>
    </row>
    <row r="11" spans="1:2" x14ac:dyDescent="0.2">
      <c r="A11" s="2" t="s">
        <v>32</v>
      </c>
      <c r="B11" s="9">
        <v>0.02</v>
      </c>
    </row>
    <row r="12" spans="1:2" x14ac:dyDescent="0.2">
      <c r="A12" s="2" t="s">
        <v>31</v>
      </c>
      <c r="B12" s="2">
        <f>Enterprise_Value * B11</f>
        <v>20</v>
      </c>
    </row>
    <row r="13" spans="1:2" x14ac:dyDescent="0.2">
      <c r="A13" s="2" t="s">
        <v>63</v>
      </c>
      <c r="B13" s="2">
        <f>B8+B12</f>
        <v>420</v>
      </c>
    </row>
  </sheetData>
  <mergeCells count="2">
    <mergeCell ref="A3:B3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BB1A-9092-7B4E-9752-E287CA187DE2}">
  <dimension ref="A1:Q28"/>
  <sheetViews>
    <sheetView showGridLines="0" workbookViewId="0">
      <selection activeCell="E3" sqref="E3"/>
    </sheetView>
  </sheetViews>
  <sheetFormatPr baseColWidth="10" defaultRowHeight="19" x14ac:dyDescent="0.25"/>
  <cols>
    <col min="1" max="1" width="27.6640625" style="4" customWidth="1"/>
    <col min="2" max="2" width="20.83203125" style="4" customWidth="1"/>
    <col min="3" max="3" width="10.83203125" style="4"/>
    <col min="4" max="4" width="18.6640625" style="4" bestFit="1" customWidth="1"/>
    <col min="5" max="17" width="10.83203125" style="4"/>
  </cols>
  <sheetData>
    <row r="1" spans="1:5" x14ac:dyDescent="0.25">
      <c r="A1" s="42" t="s">
        <v>2</v>
      </c>
      <c r="B1" s="42"/>
      <c r="D1" s="43" t="s">
        <v>33</v>
      </c>
      <c r="E1" s="43"/>
    </row>
    <row r="2" spans="1:5" x14ac:dyDescent="0.25">
      <c r="A2" s="5" t="s">
        <v>3</v>
      </c>
      <c r="B2" s="5">
        <v>100</v>
      </c>
      <c r="D2" s="2" t="s">
        <v>29</v>
      </c>
      <c r="E2" s="2">
        <v>400</v>
      </c>
    </row>
    <row r="3" spans="1:5" x14ac:dyDescent="0.25">
      <c r="A3" s="5" t="s">
        <v>4</v>
      </c>
      <c r="B3" s="6">
        <v>10</v>
      </c>
      <c r="D3" s="2" t="s">
        <v>34</v>
      </c>
      <c r="E3" s="2">
        <f>TRANSACTION!B12</f>
        <v>20</v>
      </c>
    </row>
    <row r="4" spans="1:5" x14ac:dyDescent="0.25">
      <c r="A4" s="5" t="s">
        <v>5</v>
      </c>
      <c r="B4" s="5">
        <f>B2*B3</f>
        <v>1000</v>
      </c>
      <c r="D4" s="2" t="s">
        <v>35</v>
      </c>
      <c r="E4" s="2">
        <f>SUM(E2:E3)</f>
        <v>420</v>
      </c>
    </row>
    <row r="5" spans="1:5" x14ac:dyDescent="0.25">
      <c r="A5" s="5" t="s">
        <v>6</v>
      </c>
      <c r="B5" s="5">
        <v>11</v>
      </c>
      <c r="D5"/>
      <c r="E5"/>
    </row>
    <row r="6" spans="1:5" x14ac:dyDescent="0.25">
      <c r="A6" s="5" t="s">
        <v>7</v>
      </c>
      <c r="B6" s="5">
        <v>5</v>
      </c>
      <c r="D6" s="43" t="s">
        <v>39</v>
      </c>
      <c r="E6" s="43"/>
    </row>
    <row r="7" spans="1:5" x14ac:dyDescent="0.25">
      <c r="D7" s="2" t="s">
        <v>36</v>
      </c>
      <c r="E7" s="2">
        <f>Debt_EV*Enterprise_Value</f>
        <v>600</v>
      </c>
    </row>
    <row r="8" spans="1:5" x14ac:dyDescent="0.25">
      <c r="A8" s="42" t="s">
        <v>8</v>
      </c>
      <c r="B8" s="42"/>
      <c r="D8" s="2" t="s">
        <v>37</v>
      </c>
      <c r="E8" s="2">
        <f>E4-E7</f>
        <v>-180</v>
      </c>
    </row>
    <row r="9" spans="1:5" x14ac:dyDescent="0.25">
      <c r="A9" s="5" t="s">
        <v>9</v>
      </c>
      <c r="B9" s="7">
        <v>0.6</v>
      </c>
      <c r="D9" s="2" t="s">
        <v>38</v>
      </c>
      <c r="E9" s="2">
        <f>SUM(E7,E8)</f>
        <v>420</v>
      </c>
    </row>
    <row r="10" spans="1:5" x14ac:dyDescent="0.25">
      <c r="A10" s="5" t="s">
        <v>10</v>
      </c>
      <c r="B10" s="7">
        <f>1-B9</f>
        <v>0.4</v>
      </c>
      <c r="D10"/>
      <c r="E10"/>
    </row>
    <row r="11" spans="1:5" x14ac:dyDescent="0.25">
      <c r="A11" s="5" t="s">
        <v>11</v>
      </c>
      <c r="B11" s="7">
        <v>0.05</v>
      </c>
      <c r="D11" s="2" t="s">
        <v>40</v>
      </c>
      <c r="E11" s="2">
        <f>E4-E9</f>
        <v>0</v>
      </c>
    </row>
    <row r="12" spans="1:5" x14ac:dyDescent="0.25">
      <c r="A12" s="5" t="s">
        <v>12</v>
      </c>
      <c r="B12" s="7">
        <v>0.03</v>
      </c>
    </row>
    <row r="13" spans="1:5" x14ac:dyDescent="0.25">
      <c r="A13" s="5" t="s">
        <v>13</v>
      </c>
      <c r="B13" s="7">
        <f>B11+B12</f>
        <v>0.08</v>
      </c>
    </row>
    <row r="14" spans="1:5" x14ac:dyDescent="0.25">
      <c r="A14" s="5" t="s">
        <v>14</v>
      </c>
      <c r="B14" s="7">
        <v>0.05</v>
      </c>
    </row>
    <row r="15" spans="1:5" x14ac:dyDescent="0.25">
      <c r="A15" s="5" t="s">
        <v>15</v>
      </c>
      <c r="B15" s="7">
        <v>0.5</v>
      </c>
    </row>
    <row r="16" spans="1:5" x14ac:dyDescent="0.25">
      <c r="A16" s="5" t="s">
        <v>16</v>
      </c>
      <c r="B16" s="5">
        <v>10</v>
      </c>
    </row>
    <row r="18" spans="1:2" x14ac:dyDescent="0.25">
      <c r="A18" s="42" t="s">
        <v>17</v>
      </c>
      <c r="B18" s="42"/>
    </row>
    <row r="19" spans="1:2" x14ac:dyDescent="0.25">
      <c r="A19" s="5" t="s">
        <v>18</v>
      </c>
      <c r="B19" s="29">
        <v>0.05</v>
      </c>
    </row>
    <row r="20" spans="1:2" x14ac:dyDescent="0.25">
      <c r="A20" s="5" t="s">
        <v>19</v>
      </c>
      <c r="B20" s="7">
        <v>0.25</v>
      </c>
    </row>
    <row r="21" spans="1:2" x14ac:dyDescent="0.25">
      <c r="A21" s="5" t="s">
        <v>20</v>
      </c>
      <c r="B21" s="7">
        <v>0.03</v>
      </c>
    </row>
    <row r="22" spans="1:2" x14ac:dyDescent="0.25">
      <c r="A22" s="5" t="s">
        <v>22</v>
      </c>
      <c r="B22" s="7">
        <v>0.02</v>
      </c>
    </row>
    <row r="23" spans="1:2" x14ac:dyDescent="0.25">
      <c r="A23" s="5" t="s">
        <v>21</v>
      </c>
      <c r="B23" s="7">
        <v>0.25</v>
      </c>
    </row>
    <row r="25" spans="1:2" x14ac:dyDescent="0.25">
      <c r="A25" s="42" t="s">
        <v>23</v>
      </c>
      <c r="B25" s="42"/>
    </row>
    <row r="26" spans="1:2" x14ac:dyDescent="0.25">
      <c r="A26" s="5" t="s">
        <v>24</v>
      </c>
      <c r="B26" s="7">
        <v>0.02</v>
      </c>
    </row>
    <row r="27" spans="1:2" x14ac:dyDescent="0.25">
      <c r="A27" s="5" t="s">
        <v>25</v>
      </c>
      <c r="B27" s="7">
        <v>0.05</v>
      </c>
    </row>
    <row r="28" spans="1:2" x14ac:dyDescent="0.25">
      <c r="A28" s="5" t="s">
        <v>26</v>
      </c>
      <c r="B28" s="5">
        <f>10</f>
        <v>10</v>
      </c>
    </row>
  </sheetData>
  <mergeCells count="6">
    <mergeCell ref="A1:B1"/>
    <mergeCell ref="A8:B8"/>
    <mergeCell ref="A18:B18"/>
    <mergeCell ref="A25:B25"/>
    <mergeCell ref="D1:E1"/>
    <mergeCell ref="D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2C88-7D0F-F04F-AAB9-BF3DC9E99A4D}">
  <dimension ref="B1:H10"/>
  <sheetViews>
    <sheetView showGridLines="0" topLeftCell="B1" workbookViewId="0">
      <selection activeCell="B1" sqref="B1:H10"/>
    </sheetView>
  </sheetViews>
  <sheetFormatPr baseColWidth="10" defaultRowHeight="16" x14ac:dyDescent="0.2"/>
  <cols>
    <col min="1" max="1" width="0" hidden="1" customWidth="1"/>
    <col min="2" max="2" width="15.83203125" customWidth="1"/>
  </cols>
  <sheetData>
    <row r="1" spans="2:8" x14ac:dyDescent="0.2">
      <c r="E1" s="44" t="s">
        <v>41</v>
      </c>
      <c r="F1" s="44"/>
    </row>
    <row r="2" spans="2:8" x14ac:dyDescent="0.2">
      <c r="B2" s="11" t="s">
        <v>44</v>
      </c>
      <c r="C2" s="12">
        <v>0</v>
      </c>
      <c r="D2" s="12">
        <v>1</v>
      </c>
      <c r="E2" s="12">
        <v>2</v>
      </c>
      <c r="F2" s="12">
        <v>3</v>
      </c>
      <c r="G2" s="12">
        <v>4</v>
      </c>
      <c r="H2" s="12">
        <v>5</v>
      </c>
    </row>
    <row r="3" spans="2:8" x14ac:dyDescent="0.2">
      <c r="B3" s="2" t="s">
        <v>49</v>
      </c>
      <c r="C3" s="24">
        <v>0</v>
      </c>
      <c r="D3" s="13">
        <f>C10</f>
        <v>600</v>
      </c>
      <c r="E3" s="13">
        <f>D10</f>
        <v>554.3125</v>
      </c>
      <c r="F3" s="13">
        <f>E10</f>
        <v>512.79937500000005</v>
      </c>
      <c r="G3" s="13">
        <f>F10</f>
        <v>465.55686875000009</v>
      </c>
      <c r="H3" s="13">
        <f>G10</f>
        <v>412.07928868750008</v>
      </c>
    </row>
    <row r="4" spans="2:8" x14ac:dyDescent="0.2">
      <c r="B4" s="2" t="s">
        <v>64</v>
      </c>
      <c r="C4" s="13">
        <f>600</f>
        <v>600</v>
      </c>
      <c r="D4" s="2"/>
      <c r="E4" s="2"/>
      <c r="F4" s="2"/>
      <c r="G4" s="2"/>
      <c r="H4" s="2"/>
    </row>
    <row r="5" spans="2:8" x14ac:dyDescent="0.2">
      <c r="B5" s="2" t="s">
        <v>45</v>
      </c>
      <c r="C5" s="14">
        <f>8%</f>
        <v>0.08</v>
      </c>
      <c r="D5" s="14">
        <f>8%</f>
        <v>0.08</v>
      </c>
      <c r="E5" s="14">
        <f>8%</f>
        <v>0.08</v>
      </c>
      <c r="F5" s="14">
        <f>8%</f>
        <v>0.08</v>
      </c>
      <c r="G5" s="14">
        <f>8%</f>
        <v>0.08</v>
      </c>
      <c r="H5" s="14">
        <f>8%</f>
        <v>0.08</v>
      </c>
    </row>
    <row r="6" spans="2:8" x14ac:dyDescent="0.2">
      <c r="B6" s="2" t="s">
        <v>46</v>
      </c>
      <c r="C6" s="13"/>
      <c r="D6" s="13">
        <f>D3*D5</f>
        <v>48</v>
      </c>
      <c r="E6" s="13">
        <f>E3*E5</f>
        <v>44.344999999999999</v>
      </c>
      <c r="F6" s="13">
        <f>F3*F5</f>
        <v>41.023950000000006</v>
      </c>
      <c r="G6" s="13">
        <f>G3*G5</f>
        <v>37.244549500000005</v>
      </c>
      <c r="H6" s="13">
        <f>H3*H5</f>
        <v>32.966343095000006</v>
      </c>
    </row>
    <row r="7" spans="2:8" x14ac:dyDescent="0.2">
      <c r="B7" s="2" t="s">
        <v>42</v>
      </c>
      <c r="C7" s="13"/>
      <c r="D7" s="13">
        <f>$C$4*Amoritization</f>
        <v>30</v>
      </c>
      <c r="E7" s="13">
        <f>$C$4*Amoritization</f>
        <v>30</v>
      </c>
      <c r="F7" s="13">
        <f>$C$4*Amoritization</f>
        <v>30</v>
      </c>
      <c r="G7" s="13">
        <f>$C$4*Amoritization</f>
        <v>30</v>
      </c>
      <c r="H7" s="13">
        <f>$C$4*Amoritization</f>
        <v>30</v>
      </c>
    </row>
    <row r="8" spans="2:8" x14ac:dyDescent="0.2">
      <c r="B8" s="2" t="s">
        <v>47</v>
      </c>
      <c r="C8" s="13"/>
      <c r="D8" s="13">
        <f>OPS!B11+FIN_STMNTS!B23-Min_Cash</f>
        <v>25.6875</v>
      </c>
      <c r="E8" s="13">
        <f>OPS!C11-Min_Cash</f>
        <v>21.513125000000002</v>
      </c>
      <c r="F8" s="13">
        <f>OPS!D11-Min_Cash</f>
        <v>27.242506249999984</v>
      </c>
      <c r="G8" s="13">
        <f>OPS!E11-Min_Cash</f>
        <v>33.47758006250001</v>
      </c>
      <c r="H8" s="13">
        <f>OPS!F11-Min_Cash</f>
        <v>40.256784475625011</v>
      </c>
    </row>
    <row r="9" spans="2:8" x14ac:dyDescent="0.2">
      <c r="B9" s="2" t="s">
        <v>48</v>
      </c>
      <c r="C9" s="13"/>
      <c r="D9" s="13">
        <f>MAX(0,D8-10)</f>
        <v>15.6875</v>
      </c>
      <c r="E9" s="13">
        <f t="shared" ref="E9:H9" si="0">MAX(0,E8-10)</f>
        <v>11.513125000000002</v>
      </c>
      <c r="F9" s="13">
        <f t="shared" si="0"/>
        <v>17.242506249999984</v>
      </c>
      <c r="G9" s="13">
        <f t="shared" si="0"/>
        <v>23.47758006250001</v>
      </c>
      <c r="H9" s="13">
        <f t="shared" si="0"/>
        <v>30.256784475625011</v>
      </c>
    </row>
    <row r="10" spans="2:8" x14ac:dyDescent="0.2">
      <c r="B10" s="2" t="s">
        <v>43</v>
      </c>
      <c r="C10" s="13">
        <f>C4-C7-C9</f>
        <v>600</v>
      </c>
      <c r="D10" s="13">
        <f>D3-D7-D9</f>
        <v>554.3125</v>
      </c>
      <c r="E10" s="13">
        <f>E3-E7-E9</f>
        <v>512.79937500000005</v>
      </c>
      <c r="F10" s="13">
        <f>F3-F7-F9</f>
        <v>465.55686875000009</v>
      </c>
      <c r="G10" s="13">
        <f>G3-G7-G9</f>
        <v>412.07928868750008</v>
      </c>
      <c r="H10" s="13">
        <f>H3-H7-H9</f>
        <v>351.82250421187507</v>
      </c>
    </row>
  </sheetData>
  <mergeCells count="1">
    <mergeCell ref="E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7519-62A7-164F-8EB5-A1A59D39310D}">
  <dimension ref="A1:F11"/>
  <sheetViews>
    <sheetView showGridLines="0" workbookViewId="0">
      <selection activeCell="A12" sqref="A12"/>
    </sheetView>
  </sheetViews>
  <sheetFormatPr baseColWidth="10" defaultRowHeight="16" x14ac:dyDescent="0.2"/>
  <cols>
    <col min="1" max="1" width="29.83203125" bestFit="1" customWidth="1"/>
  </cols>
  <sheetData>
    <row r="1" spans="1:6" x14ac:dyDescent="0.2">
      <c r="A1" s="1" t="s">
        <v>62</v>
      </c>
      <c r="B1" s="15" t="s">
        <v>50</v>
      </c>
      <c r="C1" s="15" t="s">
        <v>54</v>
      </c>
      <c r="D1" s="15" t="s">
        <v>55</v>
      </c>
      <c r="E1" s="15" t="s">
        <v>56</v>
      </c>
      <c r="F1" s="15" t="s">
        <v>57</v>
      </c>
    </row>
    <row r="2" spans="1:6" x14ac:dyDescent="0.2">
      <c r="A2" s="18" t="s">
        <v>51</v>
      </c>
      <c r="B2" s="19">
        <f>Entry_EBITDA/INPUTS!$B$20 * (1+RETURNS!$B$2)</f>
        <v>420</v>
      </c>
      <c r="C2" s="19">
        <f>B2*(1+RETURNS!$B$2)</f>
        <v>441</v>
      </c>
      <c r="D2" s="19">
        <f>C2*(1+RETURNS!$B$2)</f>
        <v>463.05</v>
      </c>
      <c r="E2" s="19">
        <f>D2*(1+RETURNS!$B$2)</f>
        <v>486.20250000000004</v>
      </c>
      <c r="F2" s="19">
        <f>E2*(1+RETURNS!$B$2)</f>
        <v>510.51262500000007</v>
      </c>
    </row>
    <row r="3" spans="1:6" x14ac:dyDescent="0.2">
      <c r="A3" s="20" t="s">
        <v>52</v>
      </c>
      <c r="B3" s="21">
        <f>B2*INPUTS!$B$20</f>
        <v>105</v>
      </c>
      <c r="C3" s="21">
        <f>C2*INPUTS!$B$20</f>
        <v>110.25</v>
      </c>
      <c r="D3" s="21">
        <f>D2*INPUTS!$B$20</f>
        <v>115.7625</v>
      </c>
      <c r="E3" s="21">
        <f>E2*INPUTS!$B$20</f>
        <v>121.55062500000001</v>
      </c>
      <c r="F3" s="21">
        <f>F2*INPUTS!$B$20</f>
        <v>127.62815625000002</v>
      </c>
    </row>
    <row r="4" spans="1:6" x14ac:dyDescent="0.2">
      <c r="A4" s="20" t="s">
        <v>65</v>
      </c>
      <c r="B4" s="21">
        <f>B3*INPUTS!$B$27</f>
        <v>5.25</v>
      </c>
      <c r="C4" s="21">
        <f>C3*INPUTS!$B$27</f>
        <v>5.5125000000000002</v>
      </c>
      <c r="D4" s="21">
        <f>D3*INPUTS!$B$27</f>
        <v>5.7881250000000009</v>
      </c>
      <c r="E4" s="21">
        <f>E3*INPUTS!$B$27</f>
        <v>6.0775312500000007</v>
      </c>
      <c r="F4" s="21">
        <f>F3*INPUTS!$B$27</f>
        <v>6.3814078125000009</v>
      </c>
    </row>
    <row r="5" spans="1:6" x14ac:dyDescent="0.2">
      <c r="A5" s="20" t="s">
        <v>58</v>
      </c>
      <c r="B5" s="21">
        <f>SUM(B3:B4)</f>
        <v>110.25</v>
      </c>
      <c r="C5" s="21">
        <f>SUM(C3:C4)</f>
        <v>115.7625</v>
      </c>
      <c r="D5" s="21">
        <f>SUM(D3:D4)</f>
        <v>121.550625</v>
      </c>
      <c r="E5" s="21">
        <f>SUM(E3:E4)</f>
        <v>127.62815625000002</v>
      </c>
      <c r="F5" s="21">
        <f>SUM(F3:F4)</f>
        <v>134.00956406250003</v>
      </c>
    </row>
    <row r="6" spans="1:6" x14ac:dyDescent="0.2">
      <c r="A6" s="2" t="s">
        <v>66</v>
      </c>
      <c r="B6" s="13">
        <f>DEBT!D3*DEBT!D5</f>
        <v>48</v>
      </c>
      <c r="C6" s="13">
        <f>DEBT!E3*DEBT!E5</f>
        <v>44.344999999999999</v>
      </c>
      <c r="D6" s="13">
        <f>DEBT!F3*DEBT!F5</f>
        <v>41.023950000000006</v>
      </c>
      <c r="E6" s="13">
        <f>DEBT!G3*DEBT!G5</f>
        <v>37.244549500000005</v>
      </c>
      <c r="F6" s="13">
        <f>DEBT!H3*DEBT!H5</f>
        <v>32.966343095000006</v>
      </c>
    </row>
    <row r="7" spans="1:6" x14ac:dyDescent="0.2">
      <c r="A7" s="2" t="s">
        <v>67</v>
      </c>
      <c r="B7" s="13">
        <f>B5-B6</f>
        <v>62.25</v>
      </c>
      <c r="C7" s="13">
        <f t="shared" ref="C7:F7" si="0">C5-C6</f>
        <v>71.417500000000004</v>
      </c>
      <c r="D7" s="13">
        <f t="shared" si="0"/>
        <v>80.526674999999983</v>
      </c>
      <c r="E7" s="13">
        <f t="shared" si="0"/>
        <v>90.383606750000013</v>
      </c>
      <c r="F7" s="13">
        <f t="shared" si="0"/>
        <v>101.04322096750002</v>
      </c>
    </row>
    <row r="8" spans="1:6" x14ac:dyDescent="0.2">
      <c r="A8" s="16" t="s">
        <v>59</v>
      </c>
      <c r="B8" s="13">
        <f>B7*Tax_Rate</f>
        <v>15.5625</v>
      </c>
      <c r="C8" s="13">
        <f>C7*Tax_Rate</f>
        <v>17.854375000000001</v>
      </c>
      <c r="D8" s="13">
        <f>D7*Tax_Rate</f>
        <v>20.131668749999996</v>
      </c>
      <c r="E8" s="13">
        <f>E7*Tax_Rate</f>
        <v>22.595901687500003</v>
      </c>
      <c r="F8" s="13">
        <f>F7*Tax_Rate</f>
        <v>25.260805241875005</v>
      </c>
    </row>
    <row r="9" spans="1:6" x14ac:dyDescent="0.2">
      <c r="A9" s="16" t="s">
        <v>60</v>
      </c>
      <c r="B9" s="13">
        <f>B2*INPUTS!$B$21</f>
        <v>12.6</v>
      </c>
      <c r="C9" s="13">
        <f>C2*INPUTS!$B$21</f>
        <v>13.229999999999999</v>
      </c>
      <c r="D9" s="13">
        <f>D2*INPUTS!$B$21</f>
        <v>13.891500000000001</v>
      </c>
      <c r="E9" s="13">
        <f>E2*INPUTS!$B$21</f>
        <v>14.586075000000001</v>
      </c>
      <c r="F9" s="13">
        <f>F2*INPUTS!$B$21</f>
        <v>15.315378750000001</v>
      </c>
    </row>
    <row r="10" spans="1:6" x14ac:dyDescent="0.2">
      <c r="A10" s="22" t="s">
        <v>61</v>
      </c>
      <c r="B10" s="19">
        <f>B2*INPUTS!$B$22</f>
        <v>8.4</v>
      </c>
      <c r="C10" s="19">
        <f>C2*INPUTS!$B$22</f>
        <v>8.82</v>
      </c>
      <c r="D10" s="19">
        <f>D2*INPUTS!$B$22</f>
        <v>9.261000000000001</v>
      </c>
      <c r="E10" s="19">
        <f>E2*INPUTS!$B$22</f>
        <v>9.7240500000000019</v>
      </c>
      <c r="F10" s="19">
        <f>F2*INPUTS!$B$22</f>
        <v>10.210252500000001</v>
      </c>
    </row>
    <row r="11" spans="1:6" x14ac:dyDescent="0.2">
      <c r="A11" s="17" t="s">
        <v>113</v>
      </c>
      <c r="B11" s="13">
        <f>B5-B6-B8-B9-B10</f>
        <v>25.6875</v>
      </c>
      <c r="C11" s="13">
        <f t="shared" ref="C11:F11" si="1">C5-C6-C8-C9-C10</f>
        <v>31.513125000000002</v>
      </c>
      <c r="D11" s="13">
        <f t="shared" si="1"/>
        <v>37.242506249999984</v>
      </c>
      <c r="E11" s="13">
        <f t="shared" si="1"/>
        <v>43.47758006250001</v>
      </c>
      <c r="F11" s="13">
        <f t="shared" si="1"/>
        <v>50.256784475625011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5FAD-19B8-9B4A-A352-B5A6453185A4}">
  <dimension ref="A1:F37"/>
  <sheetViews>
    <sheetView showGridLines="0" workbookViewId="0">
      <selection sqref="A1:F37"/>
    </sheetView>
  </sheetViews>
  <sheetFormatPr baseColWidth="10" defaultRowHeight="16" x14ac:dyDescent="0.2"/>
  <cols>
    <col min="1" max="1" width="16.83203125" customWidth="1"/>
  </cols>
  <sheetData>
    <row r="1" spans="1:6" x14ac:dyDescent="0.2">
      <c r="C1" s="37" t="s">
        <v>94</v>
      </c>
      <c r="D1" s="37"/>
      <c r="E1" s="37"/>
    </row>
    <row r="2" spans="1:6" x14ac:dyDescent="0.2">
      <c r="B2" s="15" t="s">
        <v>50</v>
      </c>
      <c r="C2" s="15" t="s">
        <v>54</v>
      </c>
      <c r="D2" s="15" t="s">
        <v>55</v>
      </c>
      <c r="E2" s="15" t="s">
        <v>56</v>
      </c>
      <c r="F2" s="15" t="s">
        <v>57</v>
      </c>
    </row>
    <row r="3" spans="1:6" x14ac:dyDescent="0.2">
      <c r="A3" s="2" t="s">
        <v>68</v>
      </c>
      <c r="B3" s="13" cm="1">
        <f t="array" ref="B3:F3">OPS!B2:F2</f>
        <v>420</v>
      </c>
      <c r="C3" s="13">
        <v>441</v>
      </c>
      <c r="D3" s="13">
        <v>463.05</v>
      </c>
      <c r="E3" s="13">
        <v>486.20250000000004</v>
      </c>
      <c r="F3" s="13">
        <v>510.51262500000007</v>
      </c>
    </row>
    <row r="4" spans="1:6" x14ac:dyDescent="0.2">
      <c r="A4" s="2" t="s">
        <v>52</v>
      </c>
      <c r="B4" s="13">
        <f>OPS!B5</f>
        <v>110.25</v>
      </c>
      <c r="C4" s="13">
        <f>OPS!C5</f>
        <v>115.7625</v>
      </c>
      <c r="D4" s="13">
        <f>OPS!D5</f>
        <v>121.550625</v>
      </c>
      <c r="E4" s="13">
        <f>OPS!E5</f>
        <v>127.62815625000002</v>
      </c>
      <c r="F4" s="13">
        <f>OPS!F5</f>
        <v>134.00956406250003</v>
      </c>
    </row>
    <row r="5" spans="1:6" x14ac:dyDescent="0.2">
      <c r="A5" s="2" t="s">
        <v>71</v>
      </c>
      <c r="B5" s="13">
        <f>B3*2%</f>
        <v>8.4</v>
      </c>
      <c r="C5" s="13">
        <f>C3*2%</f>
        <v>8.82</v>
      </c>
      <c r="D5" s="13">
        <f>D3*2%</f>
        <v>9.261000000000001</v>
      </c>
      <c r="E5" s="13">
        <f>E3*2%</f>
        <v>9.7240500000000019</v>
      </c>
      <c r="F5" s="13">
        <f>F3*2%</f>
        <v>10.210252500000001</v>
      </c>
    </row>
    <row r="6" spans="1:6" x14ac:dyDescent="0.2">
      <c r="A6" s="2" t="s">
        <v>84</v>
      </c>
      <c r="B6" s="13">
        <f>B4-B5</f>
        <v>101.85</v>
      </c>
      <c r="C6" s="13">
        <f t="shared" ref="C6:F6" si="0">C4-C5</f>
        <v>106.9425</v>
      </c>
      <c r="D6" s="13">
        <f t="shared" si="0"/>
        <v>112.289625</v>
      </c>
      <c r="E6" s="13">
        <f t="shared" si="0"/>
        <v>117.90410625000001</v>
      </c>
      <c r="F6" s="13">
        <f t="shared" si="0"/>
        <v>123.79931156250004</v>
      </c>
    </row>
    <row r="7" spans="1:6" x14ac:dyDescent="0.2">
      <c r="A7" s="2" t="s">
        <v>66</v>
      </c>
      <c r="B7" s="13" cm="1">
        <f t="array" ref="B7:F7">DEBT!D6:H6</f>
        <v>48</v>
      </c>
      <c r="C7" s="13">
        <v>44.344999999999999</v>
      </c>
      <c r="D7" s="13">
        <v>41.023950000000006</v>
      </c>
      <c r="E7" s="13">
        <v>37.244549500000005</v>
      </c>
      <c r="F7" s="13">
        <v>32.966343095000006</v>
      </c>
    </row>
    <row r="8" spans="1:6" x14ac:dyDescent="0.2">
      <c r="A8" s="2" t="s">
        <v>67</v>
      </c>
      <c r="B8" s="13">
        <f>B6-B7</f>
        <v>53.849999999999994</v>
      </c>
      <c r="C8" s="13">
        <f t="shared" ref="C8:F8" si="1">C6-C7</f>
        <v>62.597499999999997</v>
      </c>
      <c r="D8" s="13">
        <f t="shared" si="1"/>
        <v>71.265674999999987</v>
      </c>
      <c r="E8" s="13">
        <f t="shared" si="1"/>
        <v>80.659556750000007</v>
      </c>
      <c r="F8" s="13">
        <f t="shared" si="1"/>
        <v>90.832968467500024</v>
      </c>
    </row>
    <row r="9" spans="1:6" x14ac:dyDescent="0.2">
      <c r="A9" s="18" t="s">
        <v>69</v>
      </c>
      <c r="B9" s="19">
        <f>B8*25%</f>
        <v>13.462499999999999</v>
      </c>
      <c r="C9" s="19">
        <f t="shared" ref="C9:F9" si="2">C8*25%</f>
        <v>15.649374999999999</v>
      </c>
      <c r="D9" s="19">
        <f t="shared" si="2"/>
        <v>17.816418749999997</v>
      </c>
      <c r="E9" s="19">
        <f t="shared" si="2"/>
        <v>20.164889187500002</v>
      </c>
      <c r="F9" s="19">
        <f t="shared" si="2"/>
        <v>22.708242116875006</v>
      </c>
    </row>
    <row r="10" spans="1:6" x14ac:dyDescent="0.2">
      <c r="A10" s="2" t="s">
        <v>70</v>
      </c>
      <c r="B10" s="13">
        <f>B8-B9</f>
        <v>40.387499999999996</v>
      </c>
      <c r="C10" s="13">
        <f t="shared" ref="C10:F10" si="3">C8-C9</f>
        <v>46.948124999999997</v>
      </c>
      <c r="D10" s="13">
        <f t="shared" si="3"/>
        <v>53.449256249999991</v>
      </c>
      <c r="E10" s="13">
        <f t="shared" si="3"/>
        <v>60.494667562500005</v>
      </c>
      <c r="F10" s="13">
        <f t="shared" si="3"/>
        <v>68.124726350625025</v>
      </c>
    </row>
    <row r="12" spans="1:6" x14ac:dyDescent="0.2">
      <c r="C12" s="37" t="s">
        <v>93</v>
      </c>
      <c r="D12" s="37"/>
      <c r="E12" s="37"/>
    </row>
    <row r="13" spans="1:6" x14ac:dyDescent="0.2">
      <c r="B13" s="15" t="s">
        <v>50</v>
      </c>
      <c r="C13" s="15" t="s">
        <v>54</v>
      </c>
      <c r="D13" s="15" t="s">
        <v>55</v>
      </c>
      <c r="E13" s="15" t="s">
        <v>56</v>
      </c>
      <c r="F13" s="15" t="s">
        <v>57</v>
      </c>
    </row>
    <row r="14" spans="1:6" x14ac:dyDescent="0.2">
      <c r="A14" s="2" t="s">
        <v>85</v>
      </c>
      <c r="B14" s="13">
        <f>B6*(1-25%)</f>
        <v>76.387499999999989</v>
      </c>
      <c r="C14" s="13">
        <f t="shared" ref="C14:F14" si="4">C6*(1-25%)</f>
        <v>80.206874999999997</v>
      </c>
      <c r="D14" s="13">
        <f t="shared" si="4"/>
        <v>84.217218750000001</v>
      </c>
      <c r="E14" s="13">
        <f t="shared" si="4"/>
        <v>88.428079687500002</v>
      </c>
      <c r="F14" s="13">
        <f t="shared" si="4"/>
        <v>92.849483671875021</v>
      </c>
    </row>
    <row r="15" spans="1:6" x14ac:dyDescent="0.2">
      <c r="A15" s="2" t="s">
        <v>71</v>
      </c>
      <c r="B15" s="13">
        <f>B3*2%</f>
        <v>8.4</v>
      </c>
      <c r="C15" s="13">
        <f t="shared" ref="C15:F15" si="5">C3*2%</f>
        <v>8.82</v>
      </c>
      <c r="D15" s="13">
        <f t="shared" si="5"/>
        <v>9.261000000000001</v>
      </c>
      <c r="E15" s="13">
        <f t="shared" si="5"/>
        <v>9.7240500000000019</v>
      </c>
      <c r="F15" s="13">
        <f t="shared" si="5"/>
        <v>10.210252500000001</v>
      </c>
    </row>
    <row r="16" spans="1:6" x14ac:dyDescent="0.2">
      <c r="A16" s="3" t="s">
        <v>72</v>
      </c>
      <c r="B16" s="13" cm="1">
        <f t="array" ref="B16:F16">OPS!B9:F9</f>
        <v>12.6</v>
      </c>
      <c r="C16" s="13">
        <v>13.229999999999999</v>
      </c>
      <c r="D16" s="13">
        <v>13.891500000000001</v>
      </c>
      <c r="E16" s="13">
        <v>14.586075000000001</v>
      </c>
      <c r="F16" s="13">
        <v>15.315378750000001</v>
      </c>
    </row>
    <row r="17" spans="1:6" x14ac:dyDescent="0.2">
      <c r="A17" s="3" t="s">
        <v>73</v>
      </c>
      <c r="B17" s="13" cm="1">
        <f t="array" ref="B17:F17">OPS!B10:F10</f>
        <v>8.4</v>
      </c>
      <c r="C17" s="13">
        <v>8.82</v>
      </c>
      <c r="D17" s="13">
        <v>9.261000000000001</v>
      </c>
      <c r="E17" s="13">
        <v>9.7240500000000019</v>
      </c>
      <c r="F17" s="13">
        <v>10.210252500000001</v>
      </c>
    </row>
    <row r="18" spans="1:6" x14ac:dyDescent="0.2">
      <c r="A18" s="2" t="s">
        <v>53</v>
      </c>
      <c r="B18" s="13">
        <f>B14+B15-B16-B17</f>
        <v>63.787500000000001</v>
      </c>
      <c r="C18" s="13">
        <f t="shared" ref="C18:F18" si="6">C14+C15-C16-C17</f>
        <v>66.976874999999978</v>
      </c>
      <c r="D18" s="13">
        <f t="shared" si="6"/>
        <v>70.325718749999993</v>
      </c>
      <c r="E18" s="13">
        <f t="shared" si="6"/>
        <v>73.842004687500008</v>
      </c>
      <c r="F18" s="13">
        <f t="shared" si="6"/>
        <v>77.534104921875013</v>
      </c>
    </row>
    <row r="19" spans="1:6" x14ac:dyDescent="0.2">
      <c r="A19" s="2" t="s">
        <v>74</v>
      </c>
      <c r="B19" s="2"/>
      <c r="C19" s="2"/>
      <c r="D19" s="2"/>
      <c r="E19" s="2"/>
      <c r="F19" s="2"/>
    </row>
    <row r="20" spans="1:6" x14ac:dyDescent="0.2">
      <c r="A20" s="3" t="s">
        <v>77</v>
      </c>
      <c r="B20" s="13" cm="1">
        <f t="array" ref="B20:F20">DEBT!D7:H7</f>
        <v>30</v>
      </c>
      <c r="C20" s="13">
        <v>30</v>
      </c>
      <c r="D20" s="13">
        <v>30</v>
      </c>
      <c r="E20" s="13">
        <v>30</v>
      </c>
      <c r="F20" s="13">
        <v>30</v>
      </c>
    </row>
    <row r="21" spans="1:6" x14ac:dyDescent="0.2">
      <c r="A21" s="25" t="s">
        <v>78</v>
      </c>
      <c r="B21" s="19">
        <f>B20</f>
        <v>30</v>
      </c>
      <c r="C21" s="19">
        <f t="shared" ref="C21:F21" si="7">C20</f>
        <v>30</v>
      </c>
      <c r="D21" s="19">
        <f t="shared" si="7"/>
        <v>30</v>
      </c>
      <c r="E21" s="19">
        <f t="shared" si="7"/>
        <v>30</v>
      </c>
      <c r="F21" s="19">
        <f t="shared" si="7"/>
        <v>30</v>
      </c>
    </row>
    <row r="22" spans="1:6" x14ac:dyDescent="0.2">
      <c r="A22" s="2" t="s">
        <v>75</v>
      </c>
      <c r="B22" s="13">
        <f>B18-B21</f>
        <v>33.787500000000001</v>
      </c>
      <c r="C22" s="13">
        <f>C18-C21</f>
        <v>36.976874999999978</v>
      </c>
      <c r="D22" s="13">
        <f>D18-D21</f>
        <v>40.325718749999993</v>
      </c>
      <c r="E22" s="13">
        <f>E18-E21</f>
        <v>43.842004687500008</v>
      </c>
      <c r="F22" s="13">
        <f>F18-F21</f>
        <v>47.534104921875013</v>
      </c>
    </row>
    <row r="23" spans="1:6" x14ac:dyDescent="0.2">
      <c r="A23" s="2" t="s">
        <v>79</v>
      </c>
      <c r="B23" s="2">
        <f>INPUTS!B28</f>
        <v>10</v>
      </c>
      <c r="C23" s="13">
        <f>B24</f>
        <v>43.787500000000001</v>
      </c>
      <c r="D23" s="13">
        <f t="shared" ref="D23:F23" si="8">C24</f>
        <v>80.764374999999973</v>
      </c>
      <c r="E23" s="13">
        <f t="shared" si="8"/>
        <v>121.09009374999997</v>
      </c>
      <c r="F23" s="13">
        <f t="shared" si="8"/>
        <v>164.93209843749997</v>
      </c>
    </row>
    <row r="24" spans="1:6" x14ac:dyDescent="0.2">
      <c r="A24" s="2" t="s">
        <v>76</v>
      </c>
      <c r="B24" s="13">
        <f>B23+B22</f>
        <v>43.787500000000001</v>
      </c>
      <c r="C24" s="13">
        <f>C23+C22</f>
        <v>80.764374999999973</v>
      </c>
      <c r="D24" s="13">
        <f t="shared" ref="D24:F24" si="9">D23+D22</f>
        <v>121.09009374999997</v>
      </c>
      <c r="E24" s="13">
        <f t="shared" si="9"/>
        <v>164.93209843749997</v>
      </c>
      <c r="F24" s="13">
        <f t="shared" si="9"/>
        <v>212.46620335937499</v>
      </c>
    </row>
    <row r="26" spans="1:6" x14ac:dyDescent="0.2">
      <c r="C26" s="37" t="s">
        <v>80</v>
      </c>
      <c r="D26" s="37"/>
      <c r="E26" s="37"/>
    </row>
    <row r="27" spans="1:6" x14ac:dyDescent="0.2">
      <c r="B27" s="15" t="s">
        <v>50</v>
      </c>
      <c r="C27" s="15" t="s">
        <v>54</v>
      </c>
      <c r="D27" s="15" t="s">
        <v>55</v>
      </c>
      <c r="E27" s="15" t="s">
        <v>56</v>
      </c>
      <c r="F27" s="15" t="s">
        <v>57</v>
      </c>
    </row>
    <row r="28" spans="1:6" x14ac:dyDescent="0.2">
      <c r="A28" s="2" t="s">
        <v>86</v>
      </c>
      <c r="B28" s="13"/>
      <c r="C28" s="13"/>
      <c r="D28" s="13"/>
      <c r="E28" s="13"/>
      <c r="F28" s="13"/>
    </row>
    <row r="29" spans="1:6" x14ac:dyDescent="0.2">
      <c r="A29" s="3" t="s">
        <v>87</v>
      </c>
      <c r="B29" s="26">
        <f>B24</f>
        <v>43.787500000000001</v>
      </c>
      <c r="C29" s="26">
        <f>C24</f>
        <v>80.764374999999973</v>
      </c>
      <c r="D29" s="26">
        <f>D24</f>
        <v>121.09009374999997</v>
      </c>
      <c r="E29" s="26">
        <f>E24</f>
        <v>164.93209843749997</v>
      </c>
      <c r="F29" s="26">
        <f>F24</f>
        <v>212.46620335937499</v>
      </c>
    </row>
    <row r="30" spans="1:6" x14ac:dyDescent="0.2">
      <c r="A30" s="3" t="s">
        <v>88</v>
      </c>
      <c r="B30" s="13">
        <f>B37-B29</f>
        <v>370.91249999999997</v>
      </c>
      <c r="C30" s="13">
        <f t="shared" ref="C30:F30" si="10">C37-C29</f>
        <v>339.37062500000008</v>
      </c>
      <c r="D30" s="13">
        <f t="shared" si="10"/>
        <v>305.25165625000011</v>
      </c>
      <c r="E30" s="13">
        <f t="shared" si="10"/>
        <v>268.42673906250008</v>
      </c>
      <c r="F30" s="13">
        <f t="shared" si="10"/>
        <v>228.76057601562511</v>
      </c>
    </row>
    <row r="31" spans="1:6" x14ac:dyDescent="0.2">
      <c r="A31" s="2" t="s">
        <v>92</v>
      </c>
      <c r="B31" s="13">
        <f>SUM(B29:B30)</f>
        <v>414.7</v>
      </c>
      <c r="C31" s="13">
        <f t="shared" ref="C31:F31" si="11">SUM(C29:C30)</f>
        <v>420.13500000000005</v>
      </c>
      <c r="D31" s="13">
        <f t="shared" si="11"/>
        <v>426.34175000000005</v>
      </c>
      <c r="E31" s="13">
        <f t="shared" si="11"/>
        <v>433.35883750000005</v>
      </c>
      <c r="F31" s="13">
        <f t="shared" si="11"/>
        <v>441.22677937500009</v>
      </c>
    </row>
    <row r="32" spans="1:6" x14ac:dyDescent="0.2">
      <c r="A32" s="2" t="s">
        <v>89</v>
      </c>
      <c r="B32" s="2"/>
      <c r="C32" s="2"/>
      <c r="D32" s="2"/>
      <c r="E32" s="2"/>
      <c r="F32" s="2"/>
    </row>
    <row r="33" spans="1:6" x14ac:dyDescent="0.2">
      <c r="A33" s="3" t="s">
        <v>90</v>
      </c>
      <c r="B33" s="13">
        <f>DEBT!D10</f>
        <v>554.3125</v>
      </c>
      <c r="C33" s="13">
        <f>DEBT!E10</f>
        <v>512.79937500000005</v>
      </c>
      <c r="D33" s="13">
        <f>DEBT!F10</f>
        <v>465.55686875000009</v>
      </c>
      <c r="E33" s="13">
        <f>DEBT!G10</f>
        <v>412.07928868750008</v>
      </c>
      <c r="F33" s="13">
        <f>DEBT!H10</f>
        <v>351.82250421187507</v>
      </c>
    </row>
    <row r="34" spans="1:6" x14ac:dyDescent="0.2">
      <c r="A34" s="2" t="s">
        <v>81</v>
      </c>
      <c r="B34" s="2"/>
      <c r="C34" s="2"/>
      <c r="D34" s="2"/>
      <c r="E34" s="2"/>
      <c r="F34" s="2"/>
    </row>
    <row r="35" spans="1:6" x14ac:dyDescent="0.2">
      <c r="A35" s="3" t="s">
        <v>82</v>
      </c>
      <c r="B35" s="2">
        <f>INPUTS!$E$8</f>
        <v>-180</v>
      </c>
      <c r="C35" s="2">
        <f>INPUTS!$E$8</f>
        <v>-180</v>
      </c>
      <c r="D35" s="2">
        <f>INPUTS!$E$8</f>
        <v>-180</v>
      </c>
      <c r="E35" s="2">
        <f>INPUTS!$E$8</f>
        <v>-180</v>
      </c>
      <c r="F35" s="2">
        <f>INPUTS!$E$8</f>
        <v>-180</v>
      </c>
    </row>
    <row r="36" spans="1:6" x14ac:dyDescent="0.2">
      <c r="A36" s="3" t="s">
        <v>83</v>
      </c>
      <c r="B36" s="13">
        <f>B10</f>
        <v>40.387499999999996</v>
      </c>
      <c r="C36" s="13">
        <f>C10+B36</f>
        <v>87.335624999999993</v>
      </c>
      <c r="D36" s="13">
        <f t="shared" ref="D36:F36" si="12">D10+C36</f>
        <v>140.78488124999998</v>
      </c>
      <c r="E36" s="13">
        <f t="shared" si="12"/>
        <v>201.2795488125</v>
      </c>
      <c r="F36" s="13">
        <f t="shared" si="12"/>
        <v>269.40427516312502</v>
      </c>
    </row>
    <row r="37" spans="1:6" x14ac:dyDescent="0.2">
      <c r="A37" s="3" t="s">
        <v>91</v>
      </c>
      <c r="B37" s="13">
        <f>B33+B35+B36</f>
        <v>414.7</v>
      </c>
      <c r="C37" s="13">
        <f t="shared" ref="C37:F37" si="13">C33+C35+C36</f>
        <v>420.13500000000005</v>
      </c>
      <c r="D37" s="13">
        <f t="shared" si="13"/>
        <v>426.34175000000005</v>
      </c>
      <c r="E37" s="13">
        <f t="shared" si="13"/>
        <v>433.35883750000005</v>
      </c>
      <c r="F37" s="13">
        <f t="shared" si="13"/>
        <v>441.22677937500009</v>
      </c>
    </row>
  </sheetData>
  <mergeCells count="3">
    <mergeCell ref="C1:E1"/>
    <mergeCell ref="C12:E12"/>
    <mergeCell ref="C26:E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6A9A-FBE2-4A46-9283-DBCB49981038}">
  <dimension ref="A1:K29"/>
  <sheetViews>
    <sheetView showGridLines="0" tabSelected="1" workbookViewId="0">
      <selection activeCell="A26" sqref="A26"/>
    </sheetView>
  </sheetViews>
  <sheetFormatPr baseColWidth="10" defaultRowHeight="16" x14ac:dyDescent="0.2"/>
  <cols>
    <col min="1" max="1" width="23.1640625" customWidth="1"/>
  </cols>
  <sheetData>
    <row r="1" spans="1:7" x14ac:dyDescent="0.2">
      <c r="A1" s="45" t="s">
        <v>95</v>
      </c>
      <c r="B1" s="45"/>
      <c r="C1" s="45"/>
      <c r="D1" s="45"/>
      <c r="E1" s="45"/>
      <c r="F1" s="45"/>
      <c r="G1" s="45"/>
    </row>
    <row r="2" spans="1:7" x14ac:dyDescent="0.2">
      <c r="A2" s="2" t="s">
        <v>112</v>
      </c>
      <c r="B2" s="9">
        <v>0.05</v>
      </c>
    </row>
    <row r="3" spans="1:7" x14ac:dyDescent="0.2">
      <c r="A3" s="2" t="s">
        <v>104</v>
      </c>
      <c r="B3" s="2">
        <v>5</v>
      </c>
    </row>
    <row r="4" spans="1:7" x14ac:dyDescent="0.2">
      <c r="A4" s="2" t="s">
        <v>96</v>
      </c>
      <c r="B4" s="13">
        <f>FIN_STMNTS!F4</f>
        <v>134.00956406250003</v>
      </c>
    </row>
    <row r="5" spans="1:7" x14ac:dyDescent="0.2">
      <c r="A5" s="2" t="s">
        <v>105</v>
      </c>
      <c r="B5" s="2">
        <v>11</v>
      </c>
    </row>
    <row r="6" spans="1:7" x14ac:dyDescent="0.2">
      <c r="A6" s="2" t="s">
        <v>97</v>
      </c>
      <c r="B6" s="13">
        <f>B4*B5</f>
        <v>1474.1052046875004</v>
      </c>
    </row>
    <row r="7" spans="1:7" x14ac:dyDescent="0.2">
      <c r="D7" s="10"/>
    </row>
    <row r="8" spans="1:7" x14ac:dyDescent="0.2">
      <c r="A8" s="2" t="s">
        <v>98</v>
      </c>
      <c r="B8" s="13">
        <f>DEBT!H10</f>
        <v>351.82250421187507</v>
      </c>
    </row>
    <row r="9" spans="1:7" x14ac:dyDescent="0.2">
      <c r="A9" s="2" t="s">
        <v>99</v>
      </c>
      <c r="B9" s="13">
        <f>FIN_STMNTS!F24</f>
        <v>212.46620335937499</v>
      </c>
    </row>
    <row r="10" spans="1:7" x14ac:dyDescent="0.2">
      <c r="A10" s="2" t="s">
        <v>100</v>
      </c>
      <c r="B10" s="13">
        <f>B6-B8+B9</f>
        <v>1334.7489038350004</v>
      </c>
    </row>
    <row r="12" spans="1:7" x14ac:dyDescent="0.2">
      <c r="A12" s="2" t="s">
        <v>101</v>
      </c>
      <c r="B12" s="2">
        <f>INPUTS!E8</f>
        <v>-180</v>
      </c>
    </row>
    <row r="13" spans="1:7" x14ac:dyDescent="0.2">
      <c r="A13" s="2" t="s">
        <v>102</v>
      </c>
      <c r="B13" s="27">
        <f>B10/B12</f>
        <v>-7.4152716879722247</v>
      </c>
    </row>
    <row r="14" spans="1:7" x14ac:dyDescent="0.2">
      <c r="A14" s="23" t="s">
        <v>103</v>
      </c>
      <c r="B14" s="23" t="s">
        <v>106</v>
      </c>
      <c r="C14" s="23" t="s">
        <v>107</v>
      </c>
      <c r="D14" s="23" t="s">
        <v>108</v>
      </c>
      <c r="E14" s="23" t="s">
        <v>55</v>
      </c>
      <c r="F14" s="23" t="s">
        <v>109</v>
      </c>
      <c r="G14" s="23" t="s">
        <v>110</v>
      </c>
    </row>
    <row r="15" spans="1:7" x14ac:dyDescent="0.2">
      <c r="A15" s="2" t="s">
        <v>111</v>
      </c>
      <c r="B15" s="2">
        <v>-420</v>
      </c>
      <c r="C15" s="2">
        <v>0</v>
      </c>
      <c r="D15" s="2">
        <v>0</v>
      </c>
      <c r="E15" s="2">
        <v>0</v>
      </c>
      <c r="F15" s="2">
        <v>0</v>
      </c>
      <c r="G15" s="13">
        <f>B10</f>
        <v>1334.7489038350004</v>
      </c>
    </row>
    <row r="16" spans="1:7" x14ac:dyDescent="0.2">
      <c r="A16" s="2" t="s">
        <v>103</v>
      </c>
      <c r="B16" s="9">
        <f>IRR(B15:G15)</f>
        <v>0.26017266963869434</v>
      </c>
    </row>
    <row r="18" spans="1:11" x14ac:dyDescent="0.2">
      <c r="A18" s="44" t="s">
        <v>114</v>
      </c>
      <c r="B18" s="44"/>
    </row>
    <row r="19" spans="1:11" x14ac:dyDescent="0.2">
      <c r="A19" s="24" t="s">
        <v>115</v>
      </c>
      <c r="B19" s="24">
        <v>1000</v>
      </c>
    </row>
    <row r="20" spans="1:11" x14ac:dyDescent="0.2">
      <c r="A20" s="32" t="s">
        <v>116</v>
      </c>
      <c r="B20" s="33">
        <v>340</v>
      </c>
      <c r="C20" s="31"/>
      <c r="D20" s="31"/>
      <c r="E20" s="31"/>
    </row>
    <row r="21" spans="1:11" x14ac:dyDescent="0.2">
      <c r="A21" s="34" t="s">
        <v>117</v>
      </c>
      <c r="B21" s="35">
        <v>134</v>
      </c>
      <c r="C21" s="28"/>
      <c r="D21" s="28"/>
      <c r="E21" s="28"/>
      <c r="K21" s="8"/>
    </row>
    <row r="22" spans="1:11" x14ac:dyDescent="0.2">
      <c r="A22" s="32" t="s">
        <v>118</v>
      </c>
      <c r="B22" s="33">
        <f>SUM(B19:B21)</f>
        <v>1474</v>
      </c>
      <c r="C22" s="28"/>
      <c r="D22" s="28"/>
      <c r="E22" s="28"/>
    </row>
    <row r="23" spans="1:11" x14ac:dyDescent="0.2">
      <c r="A23" s="30"/>
      <c r="B23" s="28"/>
      <c r="C23" s="28"/>
      <c r="D23" s="28"/>
      <c r="E23" s="28"/>
    </row>
    <row r="24" spans="1:11" x14ac:dyDescent="0.2">
      <c r="A24" s="46" t="s">
        <v>119</v>
      </c>
      <c r="B24" s="46"/>
    </row>
    <row r="25" spans="1:11" x14ac:dyDescent="0.2">
      <c r="A25" s="32" t="s">
        <v>123</v>
      </c>
      <c r="B25" s="2">
        <v>352</v>
      </c>
    </row>
    <row r="26" spans="1:11" x14ac:dyDescent="0.2">
      <c r="A26" s="32" t="s">
        <v>120</v>
      </c>
      <c r="B26" s="2">
        <v>212</v>
      </c>
    </row>
    <row r="27" spans="1:11" x14ac:dyDescent="0.2">
      <c r="A27" s="32" t="s">
        <v>121</v>
      </c>
      <c r="B27" s="27">
        <f>B22-B25+B26</f>
        <v>1334</v>
      </c>
    </row>
    <row r="28" spans="1:11" x14ac:dyDescent="0.2">
      <c r="A28" s="32" t="s">
        <v>82</v>
      </c>
      <c r="B28" s="2">
        <v>420</v>
      </c>
    </row>
    <row r="29" spans="1:11" x14ac:dyDescent="0.2">
      <c r="A29" s="32" t="s">
        <v>122</v>
      </c>
      <c r="B29" s="27">
        <f>B27-B28</f>
        <v>914</v>
      </c>
    </row>
  </sheetData>
  <mergeCells count="3">
    <mergeCell ref="A1:G1"/>
    <mergeCell ref="A18:B18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README</vt:lpstr>
      <vt:lpstr>TRANSACTION</vt:lpstr>
      <vt:lpstr>INPUTS</vt:lpstr>
      <vt:lpstr>DEBT</vt:lpstr>
      <vt:lpstr>OPS</vt:lpstr>
      <vt:lpstr>FIN_STMNTS</vt:lpstr>
      <vt:lpstr>RETURNS</vt:lpstr>
      <vt:lpstr>All_in_Rate</vt:lpstr>
      <vt:lpstr>Amoritization</vt:lpstr>
      <vt:lpstr>BaseRate</vt:lpstr>
      <vt:lpstr>Cash_Sweep</vt:lpstr>
      <vt:lpstr>Debt_EV</vt:lpstr>
      <vt:lpstr>Enterprise_Value</vt:lpstr>
      <vt:lpstr>Entry_EBITDA</vt:lpstr>
      <vt:lpstr>Entry_Multiple</vt:lpstr>
      <vt:lpstr>Exit_Multiple</vt:lpstr>
      <vt:lpstr>Holding_Period</vt:lpstr>
      <vt:lpstr>Min_Cash</vt:lpstr>
      <vt:lpstr>Spread_TLB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O'Connell</dc:creator>
  <cp:lastModifiedBy>Kieran O'Connell</cp:lastModifiedBy>
  <dcterms:created xsi:type="dcterms:W3CDTF">2026-03-18T03:31:59Z</dcterms:created>
  <dcterms:modified xsi:type="dcterms:W3CDTF">2026-03-21T04:54:13Z</dcterms:modified>
</cp:coreProperties>
</file>