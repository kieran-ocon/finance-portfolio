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kieranoconnell/Desktop/portfolio - Main/files/"/>
    </mc:Choice>
  </mc:AlternateContent>
  <xr:revisionPtr revIDLastSave="0" documentId="13_ncr:1_{83F293E8-E601-104A-8488-726117B70205}" xr6:coauthVersionLast="47" xr6:coauthVersionMax="47" xr10:uidLastSave="{00000000-0000-0000-0000-000000000000}"/>
  <bookViews>
    <workbookView xWindow="-38400" yWindow="-1360" windowWidth="38400" windowHeight="21000" xr2:uid="{96DCEB71-72FD-9843-90E9-7993DCC534D5}"/>
  </bookViews>
  <sheets>
    <sheet name="README" sheetId="1" r:id="rId1"/>
    <sheet name="Raw_Data" sheetId="8" r:id="rId2"/>
    <sheet name="Clean_Data" sheetId="9" r:id="rId3"/>
    <sheet name="Pivot_Tables" sheetId="11" r:id="rId4"/>
    <sheet name="Dashboard" sheetId="6" r:id="rId5"/>
  </sheets>
  <definedNames>
    <definedName name="Slicer_Company">#N/A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9" l="1"/>
  <c r="I17" i="9" a="1"/>
  <c r="I17" i="9" s="1"/>
  <c r="J17" i="9" s="1"/>
  <c r="I18" i="9" a="1"/>
  <c r="I18" i="9" s="1"/>
  <c r="J18" i="9" s="1"/>
  <c r="I19" i="9" a="1"/>
  <c r="I19" i="9" s="1"/>
  <c r="J19" i="9" s="1"/>
  <c r="I20" i="9" a="1"/>
  <c r="I20" i="9" s="1"/>
  <c r="J20" i="9" s="1"/>
  <c r="I21" i="9" a="1"/>
  <c r="I21" i="9" s="1"/>
  <c r="J21" i="9" s="1"/>
  <c r="I22" i="9" a="1"/>
  <c r="I22" i="9" s="1"/>
  <c r="J22" i="9" s="1"/>
  <c r="I23" i="9" a="1"/>
  <c r="I23" i="9" s="1"/>
  <c r="J23" i="9" s="1"/>
  <c r="I24" i="9" a="1"/>
  <c r="I24" i="9" s="1"/>
  <c r="J24" i="9" s="1"/>
  <c r="I25" i="9" a="1"/>
  <c r="I25" i="9"/>
  <c r="I26" i="9" a="1"/>
  <c r="I26" i="9" s="1"/>
  <c r="J26" i="9" s="1"/>
  <c r="I27" i="9" a="1"/>
  <c r="I27" i="9" s="1"/>
  <c r="J27" i="9" s="1"/>
  <c r="I28" i="9" a="1"/>
  <c r="I28" i="9" s="1"/>
  <c r="J28" i="9" s="1"/>
  <c r="I29" i="9" a="1"/>
  <c r="I29" i="9" s="1"/>
  <c r="J29" i="9" s="1"/>
  <c r="I30" i="9" a="1"/>
  <c r="I30" i="9" s="1"/>
  <c r="I31" i="9" a="1"/>
  <c r="I31" i="9" s="1"/>
  <c r="J31" i="9" s="1"/>
  <c r="H17" i="9" a="1"/>
  <c r="H17" i="9" s="1"/>
  <c r="L17" i="9" s="1"/>
  <c r="H18" i="9" a="1"/>
  <c r="H18" i="9" s="1"/>
  <c r="L18" i="9" s="1"/>
  <c r="H19" i="9" a="1"/>
  <c r="H19" i="9" s="1"/>
  <c r="L19" i="9" s="1"/>
  <c r="H20" i="9" a="1"/>
  <c r="H20" i="9" s="1"/>
  <c r="H21" i="9" a="1"/>
  <c r="H21" i="9" s="1"/>
  <c r="H22" i="9" a="1"/>
  <c r="H22" i="9" s="1"/>
  <c r="L22" i="9" s="1"/>
  <c r="H23" i="9" a="1"/>
  <c r="H23" i="9" s="1"/>
  <c r="H24" i="9" a="1"/>
  <c r="H24" i="9" s="1"/>
  <c r="L24" i="9" s="1"/>
  <c r="H25" i="9" a="1"/>
  <c r="H25" i="9" s="1"/>
  <c r="L25" i="9" s="1"/>
  <c r="H26" i="9" a="1"/>
  <c r="H26" i="9" s="1"/>
  <c r="L26" i="9" s="1"/>
  <c r="H27" i="9" a="1"/>
  <c r="H27" i="9" s="1"/>
  <c r="L27" i="9" s="1"/>
  <c r="H28" i="9" a="1"/>
  <c r="H28" i="9" s="1"/>
  <c r="L28" i="9" s="1"/>
  <c r="H29" i="9" a="1"/>
  <c r="H29" i="9" s="1"/>
  <c r="H30" i="9" a="1"/>
  <c r="H30" i="9" s="1"/>
  <c r="H31" i="9" a="1"/>
  <c r="H31" i="9" s="1"/>
  <c r="L31" i="9" s="1"/>
  <c r="G17" i="9" a="1"/>
  <c r="G17" i="9" s="1"/>
  <c r="G18" i="9" a="1"/>
  <c r="G18" i="9" s="1"/>
  <c r="G19" i="9" a="1"/>
  <c r="G19" i="9" s="1"/>
  <c r="G20" i="9" a="1"/>
  <c r="G20" i="9"/>
  <c r="L20" i="9" s="1"/>
  <c r="G21" i="9" a="1"/>
  <c r="G21" i="9" s="1"/>
  <c r="G22" i="9" a="1"/>
  <c r="G22" i="9" s="1"/>
  <c r="G23" i="9" a="1"/>
  <c r="G23" i="9" s="1"/>
  <c r="G24" i="9" a="1"/>
  <c r="G24" i="9" s="1"/>
  <c r="G25" i="9" a="1"/>
  <c r="G25" i="9"/>
  <c r="G26" i="9" a="1"/>
  <c r="G26" i="9" s="1"/>
  <c r="G27" i="9" a="1"/>
  <c r="G27" i="9" s="1"/>
  <c r="G28" i="9" a="1"/>
  <c r="G28" i="9" s="1"/>
  <c r="G29" i="9" a="1"/>
  <c r="G29" i="9" s="1"/>
  <c r="G30" i="9" a="1"/>
  <c r="G30" i="9" s="1"/>
  <c r="L30" i="9" s="1"/>
  <c r="G31" i="9" a="1"/>
  <c r="G31" i="9" s="1"/>
  <c r="F17" i="9" a="1"/>
  <c r="F17" i="9" s="1"/>
  <c r="F18" i="9" a="1"/>
  <c r="F18" i="9" s="1"/>
  <c r="F19" i="9" a="1"/>
  <c r="F19" i="9" s="1"/>
  <c r="F20" i="9" a="1"/>
  <c r="F20" i="9" s="1"/>
  <c r="F21" i="9" a="1"/>
  <c r="F21" i="9" s="1"/>
  <c r="F22" i="9" a="1"/>
  <c r="F22" i="9" s="1"/>
  <c r="F23" i="9" a="1"/>
  <c r="F23" i="9" s="1"/>
  <c r="F24" i="9" a="1"/>
  <c r="F24" i="9" s="1"/>
  <c r="F25" i="9" a="1"/>
  <c r="F25" i="9"/>
  <c r="F26" i="9" a="1"/>
  <c r="F26" i="9" s="1"/>
  <c r="F27" i="9" a="1"/>
  <c r="F27" i="9" s="1"/>
  <c r="F28" i="9" a="1"/>
  <c r="F28" i="9" s="1"/>
  <c r="F29" i="9" a="1"/>
  <c r="F29" i="9" s="1"/>
  <c r="F30" i="9" a="1"/>
  <c r="F30" i="9" s="1"/>
  <c r="F31" i="9" a="1"/>
  <c r="F31" i="9"/>
  <c r="E19" i="9"/>
  <c r="E29" i="9"/>
  <c r="D17" i="9" a="1"/>
  <c r="D17" i="9" s="1"/>
  <c r="K17" i="9" s="1" a="1"/>
  <c r="K17" i="9" s="1"/>
  <c r="D18" i="9" a="1"/>
  <c r="D18" i="9"/>
  <c r="K18" i="9" s="1" a="1"/>
  <c r="K18" i="9" s="1"/>
  <c r="D19" i="9" a="1"/>
  <c r="D19" i="9" s="1"/>
  <c r="K19" i="9" s="1" a="1"/>
  <c r="K19" i="9" s="1"/>
  <c r="D20" i="9" a="1"/>
  <c r="D20" i="9" s="1"/>
  <c r="D21" i="9" a="1"/>
  <c r="D21" i="9"/>
  <c r="K21" i="9" s="1" a="1"/>
  <c r="K21" i="9" s="1"/>
  <c r="D22" i="9" a="1"/>
  <c r="D22" i="9" s="1"/>
  <c r="E22" i="9" s="1"/>
  <c r="D23" i="9" a="1"/>
  <c r="D23" i="9" s="1"/>
  <c r="D24" i="9" a="1"/>
  <c r="D24" i="9" s="1"/>
  <c r="K24" i="9" s="1" a="1"/>
  <c r="K24" i="9" s="1"/>
  <c r="D25" i="9" a="1"/>
  <c r="D25" i="9" s="1"/>
  <c r="D26" i="9" a="1"/>
  <c r="D26" i="9" s="1"/>
  <c r="K26" i="9" s="1" a="1"/>
  <c r="K26" i="9" s="1"/>
  <c r="D27" i="9" a="1"/>
  <c r="D27" i="9" s="1"/>
  <c r="K27" i="9" s="1" a="1"/>
  <c r="K27" i="9" s="1"/>
  <c r="D28" i="9" a="1"/>
  <c r="D28" i="9"/>
  <c r="K28" i="9" s="1" a="1"/>
  <c r="K28" i="9" s="1"/>
  <c r="D29" i="9" a="1"/>
  <c r="D29" i="9" s="1"/>
  <c r="K29" i="9" s="1" a="1"/>
  <c r="K29" i="9" s="1"/>
  <c r="D30" i="9" a="1"/>
  <c r="D30" i="9" s="1"/>
  <c r="D31" i="9" a="1"/>
  <c r="D31" i="9" s="1"/>
  <c r="K31" i="9" s="1" a="1"/>
  <c r="K31" i="9" s="1"/>
  <c r="C17" i="9" a="1"/>
  <c r="C17" i="9" s="1"/>
  <c r="M17" i="9" s="1"/>
  <c r="C18" i="9" a="1"/>
  <c r="C18" i="9"/>
  <c r="M18" i="9" s="1"/>
  <c r="C19" i="9" a="1"/>
  <c r="C19" i="9" s="1"/>
  <c r="M19" i="9" s="1"/>
  <c r="C20" i="9" a="1"/>
  <c r="C20" i="9"/>
  <c r="M20" i="9" s="1"/>
  <c r="C21" i="9" a="1"/>
  <c r="C21" i="9" s="1"/>
  <c r="C22" i="9" a="1"/>
  <c r="C22" i="9" s="1"/>
  <c r="M22" i="9" s="1"/>
  <c r="C23" i="9" a="1"/>
  <c r="C23" i="9" s="1"/>
  <c r="C24" i="9" a="1"/>
  <c r="C24" i="9" s="1"/>
  <c r="M24" i="9" s="1"/>
  <c r="C25" i="9" a="1"/>
  <c r="C25" i="9" s="1"/>
  <c r="M25" i="9" s="1"/>
  <c r="C26" i="9" a="1"/>
  <c r="C26" i="9" s="1"/>
  <c r="M26" i="9" s="1"/>
  <c r="C27" i="9" a="1"/>
  <c r="C27" i="9" s="1"/>
  <c r="M27" i="9" s="1"/>
  <c r="C28" i="9" a="1"/>
  <c r="C28" i="9"/>
  <c r="C29" i="9" a="1"/>
  <c r="C29" i="9" s="1"/>
  <c r="M29" i="9" s="1"/>
  <c r="C30" i="9" a="1"/>
  <c r="C30" i="9" s="1"/>
  <c r="J30" i="9" s="1"/>
  <c r="C31" i="9" a="1"/>
  <c r="C31" i="9" s="1"/>
  <c r="M31" i="9" s="1"/>
  <c r="H3" i="9" a="1"/>
  <c r="H3" i="9" s="1"/>
  <c r="H4" i="9" a="1"/>
  <c r="H4" i="9" s="1"/>
  <c r="H5" i="9" a="1"/>
  <c r="H5" i="9" s="1"/>
  <c r="H6" i="9" a="1"/>
  <c r="H6" i="9" s="1"/>
  <c r="H7" i="9" a="1"/>
  <c r="H7" i="9" s="1"/>
  <c r="H8" i="9" a="1"/>
  <c r="H8" i="9" s="1"/>
  <c r="H9" i="9" a="1"/>
  <c r="H9" i="9"/>
  <c r="H10" i="9" a="1"/>
  <c r="H10" i="9"/>
  <c r="H11" i="9" a="1"/>
  <c r="H11" i="9" s="1"/>
  <c r="H12" i="9" a="1"/>
  <c r="H12" i="9" s="1"/>
  <c r="H13" i="9" a="1"/>
  <c r="H13" i="9" s="1"/>
  <c r="H14" i="9" a="1"/>
  <c r="H14" i="9" s="1"/>
  <c r="H15" i="9" a="1"/>
  <c r="H15" i="9"/>
  <c r="H16" i="9" a="1"/>
  <c r="H16" i="9" s="1"/>
  <c r="H2" i="9" a="1"/>
  <c r="H2" i="9" s="1"/>
  <c r="G3" i="9" a="1"/>
  <c r="G3" i="9" s="1"/>
  <c r="G4" i="9" a="1"/>
  <c r="G4" i="9" s="1"/>
  <c r="G5" i="9" a="1"/>
  <c r="G5" i="9"/>
  <c r="G6" i="9" a="1"/>
  <c r="G6" i="9"/>
  <c r="G7" i="9" a="1"/>
  <c r="G7" i="9" s="1"/>
  <c r="G8" i="9" a="1"/>
  <c r="G8" i="9" s="1"/>
  <c r="G9" i="9" a="1"/>
  <c r="G9" i="9" s="1"/>
  <c r="G10" i="9" a="1"/>
  <c r="G10" i="9" s="1"/>
  <c r="G11" i="9" a="1"/>
  <c r="G11" i="9" s="1"/>
  <c r="G12" i="9" a="1"/>
  <c r="G12" i="9" s="1"/>
  <c r="G13" i="9" a="1"/>
  <c r="G13" i="9" s="1"/>
  <c r="G14" i="9" a="1"/>
  <c r="G14" i="9"/>
  <c r="G15" i="9" a="1"/>
  <c r="G15" i="9" s="1"/>
  <c r="G16" i="9" a="1"/>
  <c r="G16" i="9" s="1"/>
  <c r="G2" i="9" a="1"/>
  <c r="G2" i="9" s="1"/>
  <c r="F3" i="9" a="1"/>
  <c r="F3" i="9" s="1"/>
  <c r="F4" i="9" a="1"/>
  <c r="F4" i="9" s="1"/>
  <c r="F5" i="9" a="1"/>
  <c r="F5" i="9" s="1"/>
  <c r="F6" i="9" a="1"/>
  <c r="F6" i="9" s="1"/>
  <c r="F7" i="9" a="1"/>
  <c r="F7" i="9" s="1"/>
  <c r="F8" i="9" a="1"/>
  <c r="F8" i="9" s="1"/>
  <c r="F9" i="9" a="1"/>
  <c r="F9" i="9" s="1"/>
  <c r="F10" i="9" a="1"/>
  <c r="F10" i="9" s="1"/>
  <c r="F11" i="9" a="1"/>
  <c r="F11" i="9" s="1"/>
  <c r="F12" i="9" a="1"/>
  <c r="F12" i="9" s="1"/>
  <c r="F13" i="9" a="1"/>
  <c r="F13" i="9" s="1"/>
  <c r="F14" i="9" a="1"/>
  <c r="F14" i="9"/>
  <c r="F15" i="9" a="1"/>
  <c r="F15" i="9" s="1"/>
  <c r="F16" i="9" a="1"/>
  <c r="F16" i="9" s="1"/>
  <c r="F2" i="9" a="1"/>
  <c r="F2" i="9" s="1"/>
  <c r="I3" i="9" a="1"/>
  <c r="I3" i="9" s="1"/>
  <c r="I4" i="9" a="1"/>
  <c r="I4" i="9" s="1"/>
  <c r="I5" i="9" a="1"/>
  <c r="I5" i="9" s="1"/>
  <c r="I6" i="9" a="1"/>
  <c r="I6" i="9" s="1"/>
  <c r="D15" i="6" s="1" a="1"/>
  <c r="D15" i="6" s="1"/>
  <c r="D16" i="6" s="1"/>
  <c r="I7" i="9" a="1"/>
  <c r="I7" i="9" s="1"/>
  <c r="I8" i="9" a="1"/>
  <c r="I8" i="9" s="1"/>
  <c r="I9" i="9" a="1"/>
  <c r="I9" i="9" s="1"/>
  <c r="I10" i="9" a="1"/>
  <c r="I10" i="9" s="1"/>
  <c r="I11" i="9" a="1"/>
  <c r="I11" i="9" s="1"/>
  <c r="I12" i="9" a="1"/>
  <c r="I12" i="9" s="1"/>
  <c r="I13" i="9" a="1"/>
  <c r="I13" i="9" s="1"/>
  <c r="I14" i="9" a="1"/>
  <c r="I14" i="9" s="1"/>
  <c r="I15" i="9" a="1"/>
  <c r="I15" i="9" s="1"/>
  <c r="I16" i="9" a="1"/>
  <c r="I16" i="9" s="1"/>
  <c r="I2" i="9" a="1"/>
  <c r="I2" i="9" s="1"/>
  <c r="D3" i="9" a="1"/>
  <c r="D3" i="9" s="1"/>
  <c r="D4" i="9" a="1"/>
  <c r="D4" i="9" s="1"/>
  <c r="D5" i="9" a="1"/>
  <c r="D5" i="9" s="1"/>
  <c r="D6" i="9" a="1"/>
  <c r="D6" i="9" s="1"/>
  <c r="D7" i="9" a="1"/>
  <c r="D7" i="9" s="1"/>
  <c r="D8" i="9" a="1"/>
  <c r="D8" i="9" s="1"/>
  <c r="D9" i="9" a="1"/>
  <c r="D9" i="9" s="1"/>
  <c r="D10" i="9" a="1"/>
  <c r="D10" i="9" s="1"/>
  <c r="D11" i="9" a="1"/>
  <c r="D11" i="9" s="1"/>
  <c r="D12" i="9" a="1"/>
  <c r="D12" i="9" s="1"/>
  <c r="D13" i="9" a="1"/>
  <c r="D13" i="9" s="1"/>
  <c r="D14" i="9" a="1"/>
  <c r="D14" i="9" s="1"/>
  <c r="D15" i="9" a="1"/>
  <c r="D15" i="9" s="1"/>
  <c r="D16" i="9" a="1"/>
  <c r="D16" i="9" s="1"/>
  <c r="D2" i="9" a="1"/>
  <c r="D2" i="9" s="1"/>
  <c r="C3" i="9" a="1"/>
  <c r="C3" i="9" s="1"/>
  <c r="C4" i="9" a="1"/>
  <c r="C4" i="9" s="1"/>
  <c r="C5" i="9" a="1"/>
  <c r="C5" i="9" s="1"/>
  <c r="C6" i="9" a="1"/>
  <c r="C6" i="9" s="1"/>
  <c r="A15" i="6" s="1" a="1"/>
  <c r="A15" i="6" s="1"/>
  <c r="A16" i="6" s="1"/>
  <c r="C7" i="9" a="1"/>
  <c r="C7" i="9" s="1"/>
  <c r="C8" i="9" a="1"/>
  <c r="C8" i="9" s="1"/>
  <c r="C9" i="9" a="1"/>
  <c r="C9" i="9" s="1"/>
  <c r="C10" i="9" a="1"/>
  <c r="C10" i="9" s="1"/>
  <c r="C11" i="9" a="1"/>
  <c r="C11" i="9" s="1"/>
  <c r="C12" i="9" a="1"/>
  <c r="C12" i="9" s="1"/>
  <c r="C13" i="9" a="1"/>
  <c r="C13" i="9" s="1"/>
  <c r="C14" i="9" a="1"/>
  <c r="C14" i="9" s="1"/>
  <c r="C15" i="9" a="1"/>
  <c r="C15" i="9" s="1"/>
  <c r="C16" i="9" a="1"/>
  <c r="C16" i="9" s="1"/>
  <c r="C2" i="9" a="1"/>
  <c r="C2" i="9" s="1"/>
  <c r="E25" i="9" l="1"/>
  <c r="K25" i="9" a="1"/>
  <c r="K25" i="9" s="1"/>
  <c r="E23" i="9"/>
  <c r="K23" i="9" a="1"/>
  <c r="K23" i="9" s="1"/>
  <c r="L23" i="9"/>
  <c r="E20" i="9"/>
  <c r="K20" i="9" a="1"/>
  <c r="K20" i="9" s="1"/>
  <c r="L21" i="9"/>
  <c r="M23" i="9"/>
  <c r="K30" i="9" a="1"/>
  <c r="K30" i="9" s="1"/>
  <c r="E30" i="9"/>
  <c r="M21" i="9"/>
  <c r="M28" i="9"/>
  <c r="J25" i="9"/>
  <c r="E31" i="9"/>
  <c r="E21" i="9"/>
  <c r="M30" i="9"/>
  <c r="E28" i="9"/>
  <c r="E18" i="9"/>
  <c r="E27" i="9"/>
  <c r="E17" i="9"/>
  <c r="E26" i="9"/>
  <c r="K22" i="9" a="1"/>
  <c r="K22" i="9" s="1"/>
  <c r="E24" i="9"/>
  <c r="K14" i="9" a="1"/>
  <c r="K14" i="9" s="1"/>
  <c r="L15" i="9"/>
  <c r="L6" i="9"/>
  <c r="E15" i="6" s="1" a="1"/>
  <c r="E15" i="6" s="1"/>
  <c r="E16" i="6" s="1"/>
  <c r="M10" i="9"/>
  <c r="M2" i="9"/>
  <c r="M7" i="9"/>
  <c r="M6" i="9"/>
  <c r="M14" i="9"/>
  <c r="M4" i="9"/>
  <c r="M11" i="9"/>
  <c r="M9" i="9"/>
  <c r="M8" i="9"/>
  <c r="M13" i="9"/>
  <c r="M12" i="9"/>
  <c r="M16" i="9"/>
  <c r="M3" i="9"/>
  <c r="M5" i="9"/>
  <c r="M15" i="9"/>
  <c r="K7" i="9" a="1"/>
  <c r="K7" i="9" s="1"/>
  <c r="K9" i="9" a="1"/>
  <c r="K9" i="9" s="1"/>
  <c r="K8" i="9" a="1"/>
  <c r="K8" i="9" s="1"/>
  <c r="L7" i="9"/>
  <c r="K6" i="9" a="1"/>
  <c r="K6" i="9" s="1"/>
  <c r="C15" i="6" s="1" a="1"/>
  <c r="C15" i="6" s="1"/>
  <c r="C16" i="6" s="1"/>
  <c r="L5" i="9"/>
  <c r="L10" i="9"/>
  <c r="L9" i="9"/>
  <c r="L8" i="9"/>
  <c r="L16" i="9"/>
  <c r="L14" i="9"/>
  <c r="L4" i="9"/>
  <c r="L13" i="9"/>
  <c r="L3" i="9"/>
  <c r="L12" i="9"/>
  <c r="L2" i="9"/>
  <c r="K2" i="9" a="1"/>
  <c r="K2" i="9" s="1"/>
  <c r="L11" i="9"/>
  <c r="K11" i="9" a="1"/>
  <c r="K11" i="9" s="1"/>
  <c r="K10" i="9" a="1"/>
  <c r="K10" i="9" s="1"/>
  <c r="K16" i="9" a="1"/>
  <c r="K16" i="9" s="1"/>
  <c r="K15" i="9" a="1"/>
  <c r="K15" i="9" s="1"/>
  <c r="K4" i="9" a="1"/>
  <c r="K4" i="9" s="1"/>
  <c r="K13" i="9" a="1"/>
  <c r="K13" i="9" s="1"/>
  <c r="K3" i="9" a="1"/>
  <c r="K3" i="9" s="1"/>
  <c r="K12" i="9" a="1"/>
  <c r="K12" i="9" s="1"/>
  <c r="K5" i="9" a="1"/>
  <c r="K5" i="9" s="1"/>
  <c r="J2" i="9"/>
  <c r="J12" i="9"/>
  <c r="J16" i="9"/>
  <c r="J8" i="9"/>
  <c r="E11" i="9"/>
  <c r="E12" i="9"/>
  <c r="J6" i="9"/>
  <c r="J10" i="9"/>
  <c r="J9" i="9"/>
  <c r="E2" i="9"/>
  <c r="J7" i="9"/>
  <c r="J15" i="9"/>
  <c r="J5" i="9"/>
  <c r="E8" i="9"/>
  <c r="J13" i="9"/>
  <c r="J3" i="9"/>
  <c r="J14" i="9"/>
  <c r="J4" i="9"/>
  <c r="J11" i="9"/>
  <c r="E9" i="9"/>
  <c r="E7" i="9"/>
  <c r="E16" i="9"/>
  <c r="E6" i="9"/>
  <c r="B15" i="6" s="1" a="1"/>
  <c r="B15" i="6" s="1"/>
  <c r="B16" i="6" s="1"/>
  <c r="E14" i="9"/>
  <c r="E13" i="9"/>
  <c r="E15" i="9"/>
  <c r="E5" i="9"/>
  <c r="E4" i="9"/>
  <c r="E10" i="9"/>
  <c r="E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C76154-75B4-5E47-8A41-961FA0B46DBF}" keepAlive="1" name="Query - Query" description="Connection to the 'Query' query in the workbook." type="5" refreshedVersion="0" background="1">
    <dbPr connection="Provider=Microsoft.Mashup.OleDb.1;Data Source=$Workbook$;Location=Query;Extended Properties=&quot;&quot;" command="SELECT * FROM [Query]"/>
  </connection>
  <connection id="2" xr16:uid="{2FFE4136-70B4-0E49-AC33-1D82E524F32F}" keepAlive="1" name="Query - Query (2)" description="Connection to the 'Query (2)' query in the workbook." type="5" refreshedVersion="0" background="1">
    <dbPr connection="Provider=Microsoft.Mashup.OleDb.1;Data Source=$Workbook$;Location=&quot;Query (2)&quot;;Extended Properties=&quot;&quot;" command="SELECT * FROM [Query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<sst xmlns="http://schemas.openxmlformats.org/spreadsheetml/2006/main" count="287" uniqueCount="36">
  <si>
    <t>Revenue</t>
  </si>
  <si>
    <t>Year</t>
  </si>
  <si>
    <t xml:space="preserve">Company </t>
  </si>
  <si>
    <t xml:space="preserve">Year </t>
  </si>
  <si>
    <t>Net Income</t>
  </si>
  <si>
    <t>Equity</t>
  </si>
  <si>
    <t>Assets</t>
  </si>
  <si>
    <t>Debt</t>
  </si>
  <si>
    <t>FCF</t>
  </si>
  <si>
    <t>Net Margin</t>
  </si>
  <si>
    <t>ROE</t>
  </si>
  <si>
    <t>Debt Ratio</t>
  </si>
  <si>
    <t>Asset Turnover</t>
  </si>
  <si>
    <t>Row Labels</t>
  </si>
  <si>
    <t>Grand Total</t>
  </si>
  <si>
    <t>Apple</t>
  </si>
  <si>
    <t>KPI(s)</t>
  </si>
  <si>
    <t>Microsoft</t>
  </si>
  <si>
    <t>Company</t>
  </si>
  <si>
    <t xml:space="preserve"> Net Income: Raw Data $ In Millions</t>
  </si>
  <si>
    <t xml:space="preserve"> Revenue: Raw Data $ In Millions</t>
  </si>
  <si>
    <t xml:space="preserve"> FCF: Raw Data $ In Millions</t>
  </si>
  <si>
    <t>Assets: Raw Data $ In Millions</t>
  </si>
  <si>
    <t>Net Margin (%)</t>
  </si>
  <si>
    <t>FCF Margin (%)</t>
  </si>
  <si>
    <t>ROE (%)</t>
  </si>
  <si>
    <t>Column Labels</t>
  </si>
  <si>
    <t>Revenue Comparison (Apple Vs. Microsoft)</t>
  </si>
  <si>
    <t>Net Margin (Apple Vs. Microsoft)</t>
  </si>
  <si>
    <t>ROE (Apple Vs. Microsoft)</t>
  </si>
  <si>
    <t>FCF Comparison (Apple Vs. Microsoft)</t>
  </si>
  <si>
    <t>&gt;Select dropdown here</t>
  </si>
  <si>
    <t>Financial Perfromance Dashboard: Apple vs Microsoft Financial Analysis (2011-2015)</t>
  </si>
  <si>
    <t>I t</t>
  </si>
  <si>
    <t xml:space="preserve"> SE: Raw Data $ In Millions</t>
  </si>
  <si>
    <t xml:space="preserve"> Debt: Raw Data $ In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</si>
</sst>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2" x14ac:knownFonts="1">
    <font>
      <sz val="12"/>
      <color theme="1"/>
      <name val="Aptos Narrow"/>
      <family val="2"/>
      <scheme val="minor"/>
    </font>
    <font>
      <sz val="12"/>
      <color theme="1"/>
      <name val="Aptos Narrow"/>
      <family val="2"/>
      <scheme val="minor"/>
    </font>
    <font>
      <sz val="12"/>
      <color theme="0"/>
      <name val="Aptos Narrow"/>
      <family val="2"/>
      <scheme val="minor"/>
    </font>
    <font>
      <u/>
      <sz val="12"/>
      <color theme="10"/>
      <name val="Aptos Narrow"/>
      <family val="2"/>
      <scheme val="minor"/>
    </font>
    <font>
      <sz val="8"/>
      <name val="Aptos Narrow"/>
      <family val="2"/>
      <scheme val="minor"/>
    </font>
    <font>
      <b/>
      <u/>
      <sz val="16"/>
      <color theme="1"/>
      <name val="Aptos Narrow"/>
      <scheme val="minor"/>
    </font>
    <font>
      <sz val="14"/>
      <color theme="1"/>
      <name val="Arial"/>
      <family val="2"/>
    </font>
    <font>
      <b/>
      <sz val="14"/>
      <color theme="1"/>
      <name val="Arial"/>
      <family val="2"/>
    </font>
    <font>
      <u/>
      <sz val="14"/>
      <color theme="1"/>
      <name val="Arial"/>
      <family val="2"/>
    </font>
    <font>
      <b/>
      <sz val="18"/>
      <color theme="1"/>
      <name val="Aptos Narrow"/>
      <scheme val="minor"/>
    </font>
    <font>
      <b/>
      <u/>
      <sz val="18"/>
      <color theme="1"/>
      <name val="Aptos Narrow"/>
      <scheme val="minor"/>
    </font>
    <font>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2" tint="-9.9978637043366805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8">
    <xf numFmtId="0" fontId="0" fillId="0" borderId="0" xfId="0"/>
    <xf numFmtId="0" fontId="0" fillId="0" borderId="0" xfId="1" applyNumberFormat="1" applyFont="1"/>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1" fontId="6" fillId="0" borderId="0" xfId="0" applyNumberFormat="1" applyFont="1" applyAlignment="1">
      <alignment horizontal="left" vertical="center" wrapText="1"/>
    </xf>
    <xf numFmtId="1" fontId="6" fillId="0" borderId="0" xfId="0" applyNumberFormat="1" applyFont="1" applyAlignment="1">
      <alignment vertical="center" wrapText="1"/>
    </xf>
    <xf numFmtId="1" fontId="6" fillId="0" borderId="0" xfId="0" applyNumberFormat="1" applyFont="1"/>
    <xf numFmtId="0" fontId="7" fillId="0" borderId="0" xfId="0" applyFont="1" applyAlignment="1">
      <alignment horizontal="center"/>
    </xf>
    <xf numFmtId="0" fontId="7" fillId="0" borderId="0" xfId="0" applyFont="1" applyAlignment="1">
      <alignment horizontal="left"/>
    </xf>
    <xf numFmtId="0" fontId="6" fillId="0" borderId="0" xfId="0" applyFont="1" applyAlignment="1">
      <alignment horizontal="left"/>
    </xf>
    <xf numFmtId="0" fontId="6" fillId="0" borderId="0" xfId="0" applyFont="1"/>
    <xf numFmtId="0" fontId="6"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vertical="center" wrapText="1"/>
    </xf>
    <xf numFmtId="0" fontId="7" fillId="0" borderId="0" xfId="0" applyFont="1" applyAlignment="1">
      <alignment horizontal="left" vertical="center" wrapText="1"/>
    </xf>
    <xf numFmtId="6" fontId="6" fillId="0" borderId="0" xfId="0" applyNumberFormat="1" applyFont="1" applyAlignment="1">
      <alignment vertical="center" wrapText="1"/>
    </xf>
    <xf numFmtId="14" fontId="6" fillId="0" borderId="0" xfId="0" applyNumberFormat="1" applyFont="1" applyAlignment="1">
      <alignment vertical="center" wrapText="1"/>
    </xf>
    <xf numFmtId="14" fontId="6" fillId="0" borderId="0" xfId="0" applyNumberFormat="1" applyFont="1" applyAlignment="1">
      <alignment horizontal="left" vertical="center" wrapText="1"/>
    </xf>
    <xf numFmtId="0" fontId="8" fillId="0" borderId="0" xfId="2" applyNumberFormat="1" applyFont="1" applyAlignment="1">
      <alignment horizontal="center" vertical="center" wrapText="1"/>
    </xf>
    <xf numFmtId="0" fontId="8" fillId="0" borderId="0" xfId="2" applyNumberFormat="1" applyFont="1" applyAlignment="1">
      <alignment horizontal="left" vertical="center" wrapText="1"/>
    </xf>
    <xf numFmtId="0" fontId="8" fillId="0" borderId="0" xfId="2" applyFont="1" applyAlignment="1">
      <alignment horizontal="center" vertical="center" wrapText="1"/>
    </xf>
    <xf numFmtId="0" fontId="6" fillId="0" borderId="0" xfId="0" applyFont="1" applyAlignment="1">
      <alignment horizontal="left" vertical="center" wrapText="1" indent="2"/>
    </xf>
    <xf numFmtId="0" fontId="8" fillId="0" borderId="0" xfId="2" applyFont="1" applyAlignment="1">
      <alignment horizontal="left" vertical="center" wrapText="1"/>
    </xf>
    <xf numFmtId="0" fontId="6" fillId="0" borderId="0" xfId="0" applyFont="1" applyAlignment="1">
      <alignment horizontal="left" vertical="center" wrapText="1"/>
    </xf>
    <xf numFmtId="0" fontId="0" fillId="0" borderId="0" xfId="0" applyAlignment="1">
      <alignment horizontal="center"/>
    </xf>
    <xf numFmtId="0" fontId="2" fillId="4" borderId="0" xfId="0" applyFont="1" applyFill="1"/>
    <xf numFmtId="10" fontId="2" fillId="4" borderId="0" xfId="1" applyNumberFormat="1" applyFont="1" applyFill="1"/>
    <xf numFmtId="9" fontId="2" fillId="4" borderId="0" xfId="1" applyFont="1" applyFill="1"/>
    <xf numFmtId="0" fontId="10" fillId="2" borderId="0" xfId="0" applyFont="1" applyFill="1" applyAlignment="1">
      <alignment horizontal="center"/>
    </xf>
    <xf numFmtId="0" fontId="9" fillId="3" borderId="0" xfId="0" applyFont="1" applyFill="1" applyAlignment="1">
      <alignment horizontal="center"/>
    </xf>
    <xf numFmtId="0" fontId="11" fillId="0" borderId="0" xfId="0" applyFont="1"/>
    <xf numFmtId="0" fontId="2" fillId="4" borderId="0" xfId="0" applyFont="1" applyFill="1" applyAlignment="1">
      <alignment horizontal="center"/>
    </xf>
    <xf numFmtId="0" fontId="5" fillId="2" borderId="0" xfId="0" applyFont="1" applyFill="1" applyAlignment="1">
      <alignment horizontal="center" vertical="center"/>
    </xf>
    <xf numFmtId="0" fontId="7" fillId="0" borderId="0" xfId="0" applyFont="1" applyAlignment="1">
      <alignment horizontal="center"/>
    </xf>
    <xf numFmtId="0" fontId="7" fillId="0" borderId="0" xfId="0" applyFont="1" applyAlignment="1">
      <alignment horizontal="center" vertical="center" wrapText="1"/>
    </xf>
  </cellXfs>
  <cellStyles count="3">
    <cellStyle name="Hyperlink" xfId="2" builtinId="8"/>
    <cellStyle name="Normal" xfId="0" builtinId="0"/>
    <cellStyle name="Percent" xfId="1" builtinId="5"/>
  </cellStyles>
  <dxfs count="41">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strike val="0"/>
        <outline val="0"/>
        <shadow val="0"/>
        <vertAlign val="baseline"/>
        <sz val="14"/>
        <color theme="1"/>
        <name val="Arial"/>
        <family val="2"/>
        <scheme val="none"/>
      </font>
    </dxf>
    <dxf>
      <font>
        <b val="0"/>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left" vertical="center" textRotation="0" wrapText="1" indent="0" justifyLastLine="0" shrinkToFit="0" readingOrder="0"/>
    </dxf>
    <dxf>
      <font>
        <strike val="0"/>
        <outline val="0"/>
        <shadow val="0"/>
        <vertAlign val="baseline"/>
        <sz val="14"/>
        <color theme="1"/>
        <name val="Arial"/>
        <family val="2"/>
        <scheme val="none"/>
      </font>
      <numFmt numFmtId="1" formatCode="0"/>
    </dxf>
    <dxf>
      <font>
        <b/>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strike val="0"/>
        <outline val="0"/>
        <shadow val="0"/>
        <vertAlign val="baseline"/>
        <sz val="14"/>
        <color theme="1"/>
        <name val="Arial"/>
        <family val="2"/>
        <scheme val="none"/>
      </font>
      <numFmt numFmtId="1" formatCode="0"/>
    </dxf>
    <dxf>
      <font>
        <b val="0"/>
        <i val="0"/>
        <strike val="0"/>
        <condense val="0"/>
        <extend val="0"/>
        <outline val="0"/>
        <shadow val="0"/>
        <u val="none"/>
        <vertAlign val="baseline"/>
        <sz val="14"/>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general"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numFmt numFmtId="1" formatCode="0"/>
      <alignment horizontal="left" vertical="center" textRotation="0" wrapText="1" indent="0" justifyLastLine="0" shrinkToFit="0" readingOrder="0"/>
    </dxf>
    <dxf>
      <font>
        <b val="0"/>
        <i val="0"/>
        <strike val="0"/>
        <condense val="0"/>
        <extend val="0"/>
        <outline val="0"/>
        <shadow val="0"/>
        <u val="none"/>
        <vertAlign val="baseline"/>
        <sz val="14"/>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[Financial_Performance_Dashboard.xlsx]Pivot_Tables!PivotTable6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Comparison (Apple vs. Microsoft)</a:t>
            </a:r>
          </a:p>
        </c:rich>
      </c:tx>
      <c:layout>
        <c:manualLayout>
          <c:xMode val="edge"/>
          <c:yMode val="edge"/>
          <c:x val="9.5102661217980652E-2"/>
          <c:y val="3.160270880361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Pivot_Tables!$B$10:$B$11</c:f>
              <c:strCache>
                <c:ptCount val="1"/>
                <c:pt idx="0">
                  <c:v>Apple</c:v>
                </c:pt>
              </c:strCache>
            </c:strRef>
          </c:tx>
          <c:spPr>
            <a:ln w="28575" cap="rnd">
              <a:solidFill>
                <a:schemeClr val="accent1"/>
              </a:solidFill>
              <a:round/>
            </a:ln>
            <a:effectLst/>
          </c:spPr>
          <c:marker>
            <c:symbol val="none"/>
          </c:marker>
          <c:cat>
            <c:strRef>
              <c:f>Pivot_Tables!$A$12:$A$27</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Pivot_Tables!$B$12:$B$27</c:f>
              <c:numCache>
                <c:formatCode>General</c:formatCode>
                <c:ptCount val="15"/>
                <c:pt idx="0">
                  <c:v>108249</c:v>
                </c:pt>
                <c:pt idx="1">
                  <c:v>156508</c:v>
                </c:pt>
                <c:pt idx="2">
                  <c:v>170910</c:v>
                </c:pt>
                <c:pt idx="3">
                  <c:v>182795</c:v>
                </c:pt>
                <c:pt idx="4">
                  <c:v>233715</c:v>
                </c:pt>
                <c:pt idx="5">
                  <c:v>215639</c:v>
                </c:pt>
                <c:pt idx="6">
                  <c:v>229234</c:v>
                </c:pt>
                <c:pt idx="7">
                  <c:v>265595</c:v>
                </c:pt>
                <c:pt idx="8">
                  <c:v>260174</c:v>
                </c:pt>
                <c:pt idx="9">
                  <c:v>274515</c:v>
                </c:pt>
                <c:pt idx="10">
                  <c:v>365817</c:v>
                </c:pt>
                <c:pt idx="11">
                  <c:v>394328</c:v>
                </c:pt>
                <c:pt idx="12">
                  <c:v>383285</c:v>
                </c:pt>
                <c:pt idx="13">
                  <c:v>391035</c:v>
                </c:pt>
                <c:pt idx="14">
                  <c:v>416161</c:v>
                </c:pt>
              </c:numCache>
            </c:numRef>
          </c:val>
          <c:smooth val="0"/>
          <c:extLst>
            <c:ext xmlns:c16="http://schemas.microsoft.com/office/drawing/2014/chart" uri="{C3380CC4-5D6E-409C-BE32-E72D297353CC}">
              <c16:uniqueId val="{00000000-72DC-9D40-B791-4C76486614D3}"/>
            </c:ext>
          </c:extLst>
        </c:ser>
        <c:ser>
          <c:idx val="1"/>
          <c:order val="1"/>
          <c:tx>
            <c:strRef>
              <c:f>Pivot_Tables!$C$10:$C$11</c:f>
              <c:strCache>
                <c:ptCount val="1"/>
                <c:pt idx="0">
                  <c:v>Microsoft</c:v>
                </c:pt>
              </c:strCache>
            </c:strRef>
          </c:tx>
          <c:spPr>
            <a:ln w="28575" cap="rnd">
              <a:solidFill>
                <a:schemeClr val="accent2"/>
              </a:solidFill>
              <a:round/>
            </a:ln>
            <a:effectLst/>
          </c:spPr>
          <c:marker>
            <c:symbol val="none"/>
          </c:marker>
          <c:cat>
            <c:strRef>
              <c:f>Pivot_Tables!$A$12:$A$27</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Pivot_Tables!$C$12:$C$27</c:f>
              <c:numCache>
                <c:formatCode>General</c:formatCode>
                <c:ptCount val="15"/>
                <c:pt idx="0">
                  <c:v>69943</c:v>
                </c:pt>
                <c:pt idx="1">
                  <c:v>73723</c:v>
                </c:pt>
                <c:pt idx="2">
                  <c:v>77849</c:v>
                </c:pt>
                <c:pt idx="3">
                  <c:v>86833</c:v>
                </c:pt>
                <c:pt idx="4">
                  <c:v>93580</c:v>
                </c:pt>
                <c:pt idx="5">
                  <c:v>91154</c:v>
                </c:pt>
                <c:pt idx="6">
                  <c:v>96571</c:v>
                </c:pt>
                <c:pt idx="7">
                  <c:v>110360</c:v>
                </c:pt>
                <c:pt idx="8">
                  <c:v>125843</c:v>
                </c:pt>
                <c:pt idx="9">
                  <c:v>143015</c:v>
                </c:pt>
                <c:pt idx="10">
                  <c:v>168088</c:v>
                </c:pt>
                <c:pt idx="11">
                  <c:v>198270</c:v>
                </c:pt>
                <c:pt idx="12">
                  <c:v>211915</c:v>
                </c:pt>
                <c:pt idx="13">
                  <c:v>245122</c:v>
                </c:pt>
                <c:pt idx="14">
                  <c:v>281724</c:v>
                </c:pt>
              </c:numCache>
            </c:numRef>
          </c:val>
          <c:smooth val="0"/>
          <c:extLst>
            <c:ext xmlns:c16="http://schemas.microsoft.com/office/drawing/2014/chart" uri="{C3380CC4-5D6E-409C-BE32-E72D297353CC}">
              <c16:uniqueId val="{00000001-2A17-914B-A20B-D23944061DC6}"/>
            </c:ext>
          </c:extLst>
        </c:ser>
        <c:dLbls>
          <c:showLegendKey val="0"/>
          <c:showVal val="0"/>
          <c:showCatName val="0"/>
          <c:showSerName val="0"/>
          <c:showPercent val="0"/>
          <c:showBubbleSize val="0"/>
        </c:dLbls>
        <c:smooth val="0"/>
        <c:axId val="1241200192"/>
        <c:axId val="1241190336"/>
      </c:lineChart>
      <c:catAx>
        <c:axId val="124120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190336"/>
        <c:crosses val="autoZero"/>
        <c:auto val="1"/>
        <c:lblAlgn val="ctr"/>
        <c:lblOffset val="100"/>
        <c:noMultiLvlLbl val="0"/>
      </c:catAx>
      <c:valAx>
        <c:axId val="124119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0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[Financial_Performance_Dashboard.xlsx]Pivot_Tables!PivotTable8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Margin (Apple Vs. Microsoft)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Pivot_Tables!$G$10:$G$11</c:f>
              <c:strCache>
                <c:ptCount val="1"/>
                <c:pt idx="0">
                  <c:v>Apple</c:v>
                </c:pt>
              </c:strCache>
            </c:strRef>
          </c:tx>
          <c:spPr>
            <a:ln w="28575" cap="rnd">
              <a:solidFill>
                <a:schemeClr val="accent1"/>
              </a:solidFill>
              <a:round/>
            </a:ln>
            <a:effectLst/>
          </c:spPr>
          <c:marker>
            <c:symbol val="none"/>
          </c:marker>
          <c:cat>
            <c:strRef>
              <c:f>Pivot_Tables!$F$12:$F$27</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Pivot_Tables!$G$12:$G$27</c:f>
              <c:numCache>
                <c:formatCode>0.00%</c:formatCode>
                <c:ptCount val="15"/>
                <c:pt idx="0">
                  <c:v>0.2394664153941376</c:v>
                </c:pt>
                <c:pt idx="1">
                  <c:v>0.26665090602397323</c:v>
                </c:pt>
                <c:pt idx="2">
                  <c:v>0.21670469837926393</c:v>
                </c:pt>
                <c:pt idx="3">
                  <c:v>0.21614376760852322</c:v>
                </c:pt>
                <c:pt idx="4">
                  <c:v>0.22845773698735639</c:v>
                </c:pt>
                <c:pt idx="5">
                  <c:v>0.211867983064288</c:v>
                </c:pt>
                <c:pt idx="6">
                  <c:v>0.21092420845075338</c:v>
                </c:pt>
                <c:pt idx="7">
                  <c:v>0.22414202074587247</c:v>
                </c:pt>
                <c:pt idx="8">
                  <c:v>0.21238094505984456</c:v>
                </c:pt>
                <c:pt idx="9">
                  <c:v>0.20913611278072236</c:v>
                </c:pt>
                <c:pt idx="10">
                  <c:v>0.25881793355694238</c:v>
                </c:pt>
                <c:pt idx="11">
                  <c:v>0.25309640705199732</c:v>
                </c:pt>
                <c:pt idx="12">
                  <c:v>0.25306234264320282</c:v>
                </c:pt>
                <c:pt idx="13">
                  <c:v>0.23971255769943867</c:v>
                </c:pt>
                <c:pt idx="14">
                  <c:v>0.26915064121818238</c:v>
                </c:pt>
              </c:numCache>
            </c:numRef>
          </c:val>
          <c:smooth val="0"/>
          <c:extLst>
            <c:ext xmlns:c16="http://schemas.microsoft.com/office/drawing/2014/chart" uri="{C3380CC4-5D6E-409C-BE32-E72D297353CC}">
              <c16:uniqueId val="{00000000-4C74-C344-916C-A63D7336DAA4}"/>
            </c:ext>
          </c:extLst>
        </c:ser>
        <c:ser>
          <c:idx val="1"/>
          <c:order val="1"/>
          <c:tx>
            <c:strRef>
              <c:f>Pivot_Tables!$H$10:$H$11</c:f>
              <c:strCache>
                <c:ptCount val="1"/>
                <c:pt idx="0">
                  <c:v>Microsoft</c:v>
                </c:pt>
              </c:strCache>
            </c:strRef>
          </c:tx>
          <c:spPr>
            <a:ln w="28575" cap="rnd">
              <a:solidFill>
                <a:schemeClr val="accent2"/>
              </a:solidFill>
              <a:round/>
            </a:ln>
            <a:effectLst/>
          </c:spPr>
          <c:marker>
            <c:symbol val="none"/>
          </c:marker>
          <c:cat>
            <c:strRef>
              <c:f>Pivot_Tables!$F$12:$F$27</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Pivot_Tables!$H$12:$H$27</c:f>
              <c:numCache>
                <c:formatCode>0.00%</c:formatCode>
                <c:ptCount val="15"/>
                <c:pt idx="0">
                  <c:v>0.3309838010951775</c:v>
                </c:pt>
                <c:pt idx="1">
                  <c:v>0.23029448069123612</c:v>
                </c:pt>
                <c:pt idx="2">
                  <c:v>0.28083854641678119</c:v>
                </c:pt>
                <c:pt idx="3">
                  <c:v>0.25421210829983992</c:v>
                </c:pt>
                <c:pt idx="4">
                  <c:v>0.13029493481513144</c:v>
                </c:pt>
                <c:pt idx="5">
                  <c:v>0.22532198257893235</c:v>
                </c:pt>
                <c:pt idx="6">
                  <c:v>0.26394052044609667</c:v>
                </c:pt>
                <c:pt idx="7">
                  <c:v>0.15015404131931859</c:v>
                </c:pt>
                <c:pt idx="8">
                  <c:v>0.31181710544090652</c:v>
                </c:pt>
                <c:pt idx="9">
                  <c:v>0.30962486452470023</c:v>
                </c:pt>
                <c:pt idx="10">
                  <c:v>0.36451739564989766</c:v>
                </c:pt>
                <c:pt idx="11">
                  <c:v>0.36686336813436221</c:v>
                </c:pt>
                <c:pt idx="12">
                  <c:v>0.34146237878394642</c:v>
                </c:pt>
                <c:pt idx="13">
                  <c:v>0.35955972944084985</c:v>
                </c:pt>
                <c:pt idx="14">
                  <c:v>0.36146015248967073</c:v>
                </c:pt>
              </c:numCache>
            </c:numRef>
          </c:val>
          <c:smooth val="0"/>
          <c:extLst>
            <c:ext xmlns:c16="http://schemas.microsoft.com/office/drawing/2014/chart" uri="{C3380CC4-5D6E-409C-BE32-E72D297353CC}">
              <c16:uniqueId val="{00000001-5A1F-E34B-B727-9B08799F71D6}"/>
            </c:ext>
          </c:extLst>
        </c:ser>
        <c:dLbls>
          <c:showLegendKey val="0"/>
          <c:showVal val="0"/>
          <c:showCatName val="0"/>
          <c:showSerName val="0"/>
          <c:showPercent val="0"/>
          <c:showBubbleSize val="0"/>
        </c:dLbls>
        <c:smooth val="0"/>
        <c:axId val="1240325568"/>
        <c:axId val="1240323776"/>
      </c:lineChart>
      <c:catAx>
        <c:axId val="124032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23776"/>
        <c:crosses val="autoZero"/>
        <c:auto val="1"/>
        <c:lblAlgn val="ctr"/>
        <c:lblOffset val="100"/>
        <c:noMultiLvlLbl val="0"/>
      </c:catAx>
      <c:valAx>
        <c:axId val="1240323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2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ROE (Apple Vs. Microsoft)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8550254747573"/>
          <c:y val="8.287903419612945E-2"/>
          <c:w val="0.66752605707523549"/>
          <c:h val="0.80845727617381158"/>
        </c:manualLayout>
      </c:layout>
      <c:lineChart>
        <c:grouping val="standard"/>
        <c:varyColors val="0"/>
        <c:ser>
          <c:idx val="0"/>
          <c:order val="0"/>
          <c:tx>
            <c:strRef>
              <c:f>Pivot_Tables!$B$29:$B$30</c:f>
              <c:strCache>
                <c:ptCount val="1"/>
                <c:pt idx="0">
                  <c:v>Apple</c:v>
                </c:pt>
              </c:strCache>
            </c:strRef>
          </c:tx>
          <c:spPr>
            <a:ln w="28575" cap="rnd">
              <a:solidFill>
                <a:schemeClr val="accent1"/>
              </a:solidFill>
              <a:round/>
            </a:ln>
            <a:effectLst/>
          </c:spPr>
          <c:marker>
            <c:symbol val="none"/>
          </c:marker>
          <c:cat>
            <c:strRef>
              <c:f>Pivot_Tables!$A$31:$A$46</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Pivot_Tables!$B$31:$B$46</c:f>
              <c:numCache>
                <c:formatCode>0.00%</c:formatCode>
                <c:ptCount val="15"/>
                <c:pt idx="0">
                  <c:v>0.3383410559289956</c:v>
                </c:pt>
                <c:pt idx="1">
                  <c:v>0.35304119786820065</c:v>
                </c:pt>
                <c:pt idx="2">
                  <c:v>0.29977579745687943</c:v>
                </c:pt>
                <c:pt idx="3">
                  <c:v>0.35420047155010892</c:v>
                </c:pt>
                <c:pt idx="4">
                  <c:v>0.44735453060198566</c:v>
                </c:pt>
                <c:pt idx="5">
                  <c:v>0.35623669580269629</c:v>
                </c:pt>
                <c:pt idx="6">
                  <c:v>0.36070184338329092</c:v>
                </c:pt>
                <c:pt idx="7">
                  <c:v>0.5556011834209077</c:v>
                </c:pt>
                <c:pt idx="8">
                  <c:v>0.61064450534877557</c:v>
                </c:pt>
                <c:pt idx="9">
                  <c:v>0.87866358530127486</c:v>
                </c:pt>
                <c:pt idx="10">
                  <c:v>1.5007132667617689</c:v>
                </c:pt>
                <c:pt idx="11">
                  <c:v>1.9695887275023682</c:v>
                </c:pt>
                <c:pt idx="12">
                  <c:v>1.5607601454639075</c:v>
                </c:pt>
                <c:pt idx="13">
                  <c:v>1.6459350307287095</c:v>
                </c:pt>
                <c:pt idx="14">
                  <c:v>1.5191298333175105</c:v>
                </c:pt>
              </c:numCache>
            </c:numRef>
          </c:val>
          <c:smooth val="0"/>
          <c:extLst>
            <c:ext xmlns:c16="http://schemas.microsoft.com/office/drawing/2014/chart" uri="{C3380CC4-5D6E-409C-BE32-E72D297353CC}">
              <c16:uniqueId val="{00000000-C776-974F-B3E7-9034E3030317}"/>
            </c:ext>
          </c:extLst>
        </c:ser>
        <c:ser>
          <c:idx val="1"/>
          <c:order val="1"/>
          <c:tx>
            <c:strRef>
              <c:f>Pivot_Tables!$C$29:$C$30</c:f>
              <c:strCache>
                <c:ptCount val="1"/>
                <c:pt idx="0">
                  <c:v>Microsoft</c:v>
                </c:pt>
              </c:strCache>
            </c:strRef>
          </c:tx>
          <c:spPr>
            <a:ln w="28575" cap="rnd">
              <a:solidFill>
                <a:schemeClr val="accent2"/>
              </a:solidFill>
              <a:round/>
            </a:ln>
            <a:effectLst/>
          </c:spPr>
          <c:marker>
            <c:symbol val="none"/>
          </c:marker>
          <c:cat>
            <c:strRef>
              <c:f>Pivot_Tables!$A$31:$A$46</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Pivot_Tables!$C$31:$C$46</c:f>
              <c:numCache>
                <c:formatCode>0.00%</c:formatCode>
                <c:ptCount val="15"/>
                <c:pt idx="0">
                  <c:v>0.40614035087719297</c:v>
                </c:pt>
                <c:pt idx="1">
                  <c:v>0.25530827067669171</c:v>
                </c:pt>
                <c:pt idx="2">
                  <c:v>0.27709759188846639</c:v>
                </c:pt>
                <c:pt idx="3">
                  <c:v>0.24608695652173912</c:v>
                </c:pt>
                <c:pt idx="4">
                  <c:v>0.15241250000000001</c:v>
                </c:pt>
                <c:pt idx="5">
                  <c:v>0.28566063977746869</c:v>
                </c:pt>
                <c:pt idx="6">
                  <c:v>0.35205801104972373</c:v>
                </c:pt>
                <c:pt idx="7">
                  <c:v>0.20037484885126966</c:v>
                </c:pt>
                <c:pt idx="8">
                  <c:v>0.3835777126099707</c:v>
                </c:pt>
                <c:pt idx="9">
                  <c:v>0.37431107354184279</c:v>
                </c:pt>
                <c:pt idx="10">
                  <c:v>0.43178999295278364</c:v>
                </c:pt>
                <c:pt idx="11">
                  <c:v>0.43686486486486487</c:v>
                </c:pt>
                <c:pt idx="12">
                  <c:v>0.43329940119760479</c:v>
                </c:pt>
                <c:pt idx="13">
                  <c:v>0.42784466019417478</c:v>
                </c:pt>
                <c:pt idx="14">
                  <c:v>0.42786554621848738</c:v>
                </c:pt>
              </c:numCache>
            </c:numRef>
          </c:val>
          <c:smooth val="0"/>
          <c:extLst>
            <c:ext xmlns:c16="http://schemas.microsoft.com/office/drawing/2014/chart" uri="{C3380CC4-5D6E-409C-BE32-E72D297353CC}">
              <c16:uniqueId val="{00000001-BD35-8C4C-83BD-866DA7455E55}"/>
            </c:ext>
          </c:extLst>
        </c:ser>
        <c:dLbls>
          <c:showLegendKey val="0"/>
          <c:showVal val="0"/>
          <c:showCatName val="0"/>
          <c:showSerName val="0"/>
          <c:showPercent val="0"/>
          <c:showBubbleSize val="0"/>
        </c:dLbls>
        <c:smooth val="0"/>
        <c:axId val="1190212736"/>
        <c:axId val="1248391872"/>
      </c:lineChart>
      <c:catAx>
        <c:axId val="11902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91872"/>
        <c:crosses val="autoZero"/>
        <c:auto val="1"/>
        <c:lblAlgn val="ctr"/>
        <c:lblOffset val="100"/>
        <c:noMultiLvlLbl val="0"/>
      </c:catAx>
      <c:valAx>
        <c:axId val="1248391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1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FCF Comparison (Apple Vs. Microsoft)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Pivot_Tables!$G$29:$G$30</c:f>
              <c:strCache>
                <c:ptCount val="1"/>
                <c:pt idx="0">
                  <c:v>Apple</c:v>
                </c:pt>
              </c:strCache>
            </c:strRef>
          </c:tx>
          <c:spPr>
            <a:solidFill>
              <a:schemeClr val="accent1"/>
            </a:solidFill>
            <a:ln>
              <a:noFill/>
            </a:ln>
            <a:effectLst/>
          </c:spPr>
          <c:invertIfNegative val="0"/>
          <c:cat>
            <c:strRef>
              <c:f>Pivot_Tables!$F$31:$F$46</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Pivot_Tables!$G$31:$G$46</c:f>
              <c:numCache>
                <c:formatCode>General</c:formatCode>
                <c:ptCount val="15"/>
                <c:pt idx="0">
                  <c:v>33269</c:v>
                </c:pt>
                <c:pt idx="1">
                  <c:v>42561</c:v>
                </c:pt>
                <c:pt idx="2">
                  <c:v>45501</c:v>
                </c:pt>
                <c:pt idx="3">
                  <c:v>50142</c:v>
                </c:pt>
                <c:pt idx="4">
                  <c:v>70019</c:v>
                </c:pt>
                <c:pt idx="5">
                  <c:v>53497</c:v>
                </c:pt>
                <c:pt idx="6">
                  <c:v>51774</c:v>
                </c:pt>
                <c:pt idx="7">
                  <c:v>64121</c:v>
                </c:pt>
                <c:pt idx="8">
                  <c:v>58896</c:v>
                </c:pt>
                <c:pt idx="9">
                  <c:v>73365</c:v>
                </c:pt>
                <c:pt idx="10">
                  <c:v>92953</c:v>
                </c:pt>
                <c:pt idx="11">
                  <c:v>111443</c:v>
                </c:pt>
                <c:pt idx="12">
                  <c:v>99584</c:v>
                </c:pt>
                <c:pt idx="13">
                  <c:v>108807</c:v>
                </c:pt>
                <c:pt idx="14">
                  <c:v>98767</c:v>
                </c:pt>
              </c:numCache>
            </c:numRef>
          </c:val>
          <c:extLst>
            <c:ext xmlns:c16="http://schemas.microsoft.com/office/drawing/2014/chart" uri="{C3380CC4-5D6E-409C-BE32-E72D297353CC}">
              <c16:uniqueId val="{00000000-02FA-744A-8CB5-FD61015ED30B}"/>
            </c:ext>
          </c:extLst>
        </c:ser>
        <c:ser>
          <c:idx val="1"/>
          <c:order val="1"/>
          <c:tx>
            <c:strRef>
              <c:f>Pivot_Tables!$H$29:$H$30</c:f>
              <c:strCache>
                <c:ptCount val="1"/>
                <c:pt idx="0">
                  <c:v>Microsoft</c:v>
                </c:pt>
              </c:strCache>
            </c:strRef>
          </c:tx>
          <c:spPr>
            <a:solidFill>
              <a:schemeClr val="accent2"/>
            </a:solidFill>
            <a:ln>
              <a:noFill/>
            </a:ln>
            <a:effectLst/>
          </c:spPr>
          <c:invertIfNegative val="0"/>
          <c:cat>
            <c:strRef>
              <c:f>Pivot_Tables!$F$31:$F$46</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Pivot_Tables!$H$31:$H$46</c:f>
              <c:numCache>
                <c:formatCode>General</c:formatCode>
                <c:ptCount val="15"/>
                <c:pt idx="0">
                  <c:v>24639</c:v>
                </c:pt>
                <c:pt idx="1">
                  <c:v>29321</c:v>
                </c:pt>
                <c:pt idx="2">
                  <c:v>24567</c:v>
                </c:pt>
                <c:pt idx="3">
                  <c:v>27017</c:v>
                </c:pt>
                <c:pt idx="4">
                  <c:v>23724</c:v>
                </c:pt>
                <c:pt idx="5">
                  <c:v>24928</c:v>
                </c:pt>
                <c:pt idx="6">
                  <c:v>31378</c:v>
                </c:pt>
                <c:pt idx="7">
                  <c:v>32353</c:v>
                </c:pt>
                <c:pt idx="8">
                  <c:v>38260</c:v>
                </c:pt>
                <c:pt idx="9">
                  <c:v>45234</c:v>
                </c:pt>
                <c:pt idx="10">
                  <c:v>56118</c:v>
                </c:pt>
                <c:pt idx="11">
                  <c:v>65149</c:v>
                </c:pt>
                <c:pt idx="12">
                  <c:v>59475</c:v>
                </c:pt>
                <c:pt idx="13">
                  <c:v>74071</c:v>
                </c:pt>
                <c:pt idx="14">
                  <c:v>71611</c:v>
                </c:pt>
              </c:numCache>
            </c:numRef>
          </c:val>
          <c:extLst>
            <c:ext xmlns:c16="http://schemas.microsoft.com/office/drawing/2014/chart" uri="{C3380CC4-5D6E-409C-BE32-E72D297353CC}">
              <c16:uniqueId val="{00000001-7215-2649-8ECF-EDC5B4956B07}"/>
            </c:ext>
          </c:extLst>
        </c:ser>
        <c:dLbls>
          <c:showLegendKey val="0"/>
          <c:showVal val="0"/>
          <c:showCatName val="0"/>
          <c:showSerName val="0"/>
          <c:showPercent val="0"/>
          <c:showBubbleSize val="0"/>
        </c:dLbls>
        <c:gapWidth val="219"/>
        <c:overlap val="-27"/>
        <c:axId val="1240319296"/>
        <c:axId val="1173583872"/>
      </c:barChart>
      <c:catAx>
        <c:axId val="12403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83872"/>
        <c:crosses val="autoZero"/>
        <c:auto val="1"/>
        <c:lblAlgn val="ctr"/>
        <c:lblOffset val="100"/>
        <c:noMultiLvlLbl val="0"/>
      </c:catAx>
      <c:valAx>
        <c:axId val="117358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1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17</xdr:col>
      <xdr:colOff>101600</xdr:colOff>
      <xdr:row>37</xdr:row>
      <xdr:rowOff>152400</xdr:rowOff>
    </xdr:to>
    <xdr:sp macro="" textlink="">
      <xdr:nvSpPr>
        <xdr:cNvPr id="2" name="TextBox 1">
          <a:extLst>
            <a:ext uri="{FF2B5EF4-FFF2-40B4-BE49-F238E27FC236}">
              <a16:creationId xmlns:a16="http://schemas.microsoft.com/office/drawing/2014/main" id="{06F82BDB-3465-C13A-3701-8D2778DFBCC8}"/>
            </a:ext>
          </a:extLst>
        </xdr:cNvPr>
        <xdr:cNvSpPr txBox="1"/>
      </xdr:nvSpPr>
      <xdr:spPr>
        <a:xfrm>
          <a:off x="0" y="25400"/>
          <a:ext cx="14135100" cy="764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600"/>
            <a:t>Interactive Financial Performance Model </a:t>
          </a:r>
        </a:p>
        <a:p>
          <a:pPr algn="ctr"/>
          <a:r>
            <a:rPr lang="en-CA" sz="1600"/>
            <a:t>By: Kieran O'Connell | Finance Student</a:t>
          </a:r>
        </a:p>
        <a:p>
          <a:pPr algn="ctr"/>
          <a:r>
            <a:rPr lang="en-CA" sz="1600"/>
            <a:t>March 22,</a:t>
          </a:r>
          <a:r>
            <a:rPr lang="en-CA" sz="1600" baseline="0"/>
            <a:t> 2026</a:t>
          </a:r>
          <a:endParaRPr lang="en-CA" sz="1600"/>
        </a:p>
        <a:p>
          <a:endParaRPr lang="en-CA" sz="1600"/>
        </a:p>
        <a:p>
          <a:r>
            <a:rPr lang="en-CA" sz="1600" b="1"/>
            <a:t>Overview:</a:t>
          </a:r>
          <a:br>
            <a:rPr lang="en-CA" sz="1600"/>
          </a:br>
          <a:r>
            <a:rPr lang="en-CA" sz="1600"/>
            <a:t>This project is an interactive financial dashboard built in Excel to analyze and compare the performance of major companies, including Apple and Microsoft, over time. The dashboard allows users to dynamically select a company and year to view key financial metrics while simultaneously visualizing long-term trends.</a:t>
          </a:r>
        </a:p>
        <a:p>
          <a:r>
            <a:rPr lang="en-CA" sz="1600"/>
            <a:t>The goal of this project is to demonstrate strong financial analysis, Excel modeling, and data visualization skills relevant to analyst and finance roles</a:t>
          </a:r>
        </a:p>
        <a:p>
          <a:endParaRPr lang="en-US" sz="1100"/>
        </a:p>
        <a:p>
          <a:r>
            <a:rPr lang="en-US" sz="1600" b="1"/>
            <a:t>Key Features:</a:t>
          </a:r>
        </a:p>
        <a:p>
          <a:r>
            <a:rPr lang="en-US" sz="1600"/>
            <a:t>	-</a:t>
          </a:r>
          <a:r>
            <a:rPr lang="en-US" sz="1600" baseline="0"/>
            <a:t> Dynamic  KPI Selection</a:t>
          </a:r>
        </a:p>
        <a:p>
          <a:r>
            <a:rPr lang="en-US" sz="1600" baseline="0"/>
            <a:t>	- Multi -Company Analysis</a:t>
          </a:r>
        </a:p>
        <a:p>
          <a:r>
            <a:rPr lang="en-US" sz="1600" baseline="0"/>
            <a:t>	- Interactive Dashboard</a:t>
          </a:r>
        </a:p>
        <a:p>
          <a:endParaRPr lang="en-US" sz="1600" baseline="0"/>
        </a:p>
        <a:p>
          <a:r>
            <a:rPr lang="en-US" sz="1600" b="1" baseline="0"/>
            <a:t>Key Metrics:</a:t>
          </a:r>
        </a:p>
        <a:p>
          <a:r>
            <a:rPr lang="en-US" sz="1600" baseline="0"/>
            <a:t>	- Revenue</a:t>
          </a:r>
        </a:p>
        <a:p>
          <a:r>
            <a:rPr lang="en-US" sz="1600" baseline="0"/>
            <a:t>	- Net Margin</a:t>
          </a:r>
        </a:p>
        <a:p>
          <a:r>
            <a:rPr lang="en-US" sz="1600" baseline="0"/>
            <a:t>	- ROE</a:t>
          </a:r>
        </a:p>
        <a:p>
          <a:r>
            <a:rPr lang="en-US" sz="1600" baseline="0"/>
            <a:t>	-FCF</a:t>
          </a:r>
        </a:p>
        <a:p>
          <a:r>
            <a:rPr lang="en-US" sz="1600" baseline="0"/>
            <a:t>	-Debt Ratio</a:t>
          </a:r>
        </a:p>
        <a:p>
          <a:r>
            <a:rPr lang="en-US" sz="1600" baseline="0"/>
            <a:t>	-Asset Turnover</a:t>
          </a:r>
        </a:p>
        <a:p>
          <a:endParaRPr lang="en-CA" sz="1600" b="1"/>
        </a:p>
        <a:p>
          <a:r>
            <a:rPr lang="en-CA" sz="1600" b="1"/>
            <a:t>Excel Skills Demonstrated:</a:t>
          </a:r>
        </a:p>
        <a:p>
          <a:r>
            <a:rPr lang="en-CA" sz="1600" b="0"/>
            <a:t>1.</a:t>
          </a:r>
          <a:r>
            <a:rPr lang="en-CA" sz="1600" b="0" baseline="0"/>
            <a:t> </a:t>
          </a:r>
          <a:r>
            <a:rPr lang="en-CA" sz="1600" b="0"/>
            <a:t>Advanced </a:t>
          </a:r>
          <a:r>
            <a:rPr lang="en-CA" sz="1600" b="1"/>
            <a:t>XLOOKUP</a:t>
          </a:r>
          <a:r>
            <a:rPr lang="en-CA" sz="1600" b="0"/>
            <a:t> with multiple criteria</a:t>
          </a:r>
        </a:p>
        <a:p>
          <a:r>
            <a:rPr lang="en-CA" sz="1600" b="0"/>
            <a:t>2. </a:t>
          </a:r>
          <a:r>
            <a:rPr lang="en-CA" sz="1600" b="1"/>
            <a:t>Dynamic dropdowns </a:t>
          </a:r>
          <a:r>
            <a:rPr lang="en-CA" sz="1600" b="0"/>
            <a:t>using FILTER &amp; UNIQUE</a:t>
          </a:r>
        </a:p>
        <a:p>
          <a:r>
            <a:rPr lang="en-CA" sz="1600" b="0"/>
            <a:t>3. </a:t>
          </a:r>
          <a:r>
            <a:rPr lang="en-CA" sz="1600" b="1"/>
            <a:t>Pivot Tables &amp; Pivot Charts</a:t>
          </a:r>
        </a:p>
        <a:p>
          <a:r>
            <a:rPr lang="en-CA" sz="1600" b="0"/>
            <a:t>4. Dashboard structuring and layout design</a:t>
          </a:r>
        </a:p>
        <a:p>
          <a:r>
            <a:rPr lang="en-CA" sz="1600" b="0"/>
            <a:t>5. Financial ratio calculations and KPI modeling</a:t>
          </a:r>
        </a:p>
        <a:p>
          <a:r>
            <a:rPr lang="en-CA" sz="1600" b="0"/>
            <a:t>6. Data cleaning and transformation from raw financial data</a:t>
          </a:r>
        </a:p>
        <a:p>
          <a:br>
            <a:rPr lang="en-CA" sz="1600"/>
          </a:br>
          <a:endParaRPr lang="en-CA" sz="1600"/>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2</xdr:row>
      <xdr:rowOff>63500</xdr:rowOff>
    </xdr:from>
    <xdr:to>
      <xdr:col>3</xdr:col>
      <xdr:colOff>723900</xdr:colOff>
      <xdr:row>6</xdr:row>
      <xdr:rowOff>152400</xdr:rowOff>
    </xdr:to>
    <mc:AlternateContent xmlns:mc="http://schemas.openxmlformats.org/markup-compatibility/2006" xmlns:a14="http://schemas.microsoft.com/office/drawing/2010/main">
      <mc:Choice Requires="a14">
        <xdr:graphicFrame macro="">
          <xdr:nvGraphicFramePr>
            <xdr:cNvPr id="7" name="Company ">
              <a:extLst>
                <a:ext uri="{FF2B5EF4-FFF2-40B4-BE49-F238E27FC236}">
                  <a16:creationId xmlns:a16="http://schemas.microsoft.com/office/drawing/2014/main" id="{6D9B7ED6-8B07-19CF-0571-FF6EA22FEB77}"/>
                </a:ext>
              </a:extLst>
            </xdr:cNvPr>
            <xdr:cNvGraphicFramePr/>
          </xdr:nvGraphicFramePr>
          <xdr:xfrm>
            <a:off x="0" y="0"/>
            <a:ext cx="0" cy="0"/>
          </xdr:xfrm>
          <a:graphic>
            <a:graphicData uri="http://schemas.microsoft.com/office/drawing/2010/slicer">
              <sle:slicer xmlns:sle="http://schemas.microsoft.com/office/drawing/2010/slicer" name="Company "/>
            </a:graphicData>
          </a:graphic>
        </xdr:graphicFrame>
      </mc:Choice>
      <mc:Fallback xmlns="">
        <xdr:sp macro="" textlink="">
          <xdr:nvSpPr>
            <xdr:cNvPr id="0" name=""/>
            <xdr:cNvSpPr>
              <a:spLocks noTextEdit="1"/>
            </xdr:cNvSpPr>
          </xdr:nvSpPr>
          <xdr:spPr>
            <a:xfrm>
              <a:off x="12700" y="469900"/>
              <a:ext cx="43561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203200</xdr:colOff>
      <xdr:row>3</xdr:row>
      <xdr:rowOff>38100</xdr:rowOff>
    </xdr:from>
    <xdr:to>
      <xdr:col>7</xdr:col>
      <xdr:colOff>406400</xdr:colOff>
      <xdr:row>9</xdr:row>
      <xdr:rowOff>0</xdr:rowOff>
    </xdr:to>
    <mc:AlternateContent xmlns:mc="http://schemas.openxmlformats.org/markup-compatibility/2006" xmlns:a14="http://schemas.microsoft.com/office/drawing/2010/main">
      <mc:Choice Requires="a14">
        <xdr:graphicFrame macro="">
          <xdr:nvGraphicFramePr>
            <xdr:cNvPr id="6" name="Company  2">
              <a:extLst>
                <a:ext uri="{FF2B5EF4-FFF2-40B4-BE49-F238E27FC236}">
                  <a16:creationId xmlns:a16="http://schemas.microsoft.com/office/drawing/2014/main" id="{885A70A4-2FF7-AE4C-9949-B0E38D0C0633}"/>
                </a:ext>
              </a:extLst>
            </xdr:cNvPr>
            <xdr:cNvGraphicFramePr/>
          </xdr:nvGraphicFramePr>
          <xdr:xfrm>
            <a:off x="0" y="0"/>
            <a:ext cx="0" cy="0"/>
          </xdr:xfrm>
          <a:graphic>
            <a:graphicData uri="http://schemas.microsoft.com/office/drawing/2010/slicer">
              <sle:slicer xmlns:sle="http://schemas.microsoft.com/office/drawing/2010/slicer" name="Company  2"/>
            </a:graphicData>
          </a:graphic>
        </xdr:graphicFrame>
      </mc:Choice>
      <mc:Fallback xmlns="">
        <xdr:sp macro="" textlink="">
          <xdr:nvSpPr>
            <xdr:cNvPr id="0" name=""/>
            <xdr:cNvSpPr>
              <a:spLocks noTextEdit="1"/>
            </xdr:cNvSpPr>
          </xdr:nvSpPr>
          <xdr:spPr>
            <a:xfrm>
              <a:off x="3136900" y="723900"/>
              <a:ext cx="43307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9</xdr:row>
      <xdr:rowOff>177800</xdr:rowOff>
    </xdr:from>
    <xdr:to>
      <xdr:col>5</xdr:col>
      <xdr:colOff>292100</xdr:colOff>
      <xdr:row>25</xdr:row>
      <xdr:rowOff>63500</xdr:rowOff>
    </xdr:to>
    <xdr:graphicFrame macro="">
      <xdr:nvGraphicFramePr>
        <xdr:cNvPr id="8" name="Chart 7">
          <a:extLst>
            <a:ext uri="{FF2B5EF4-FFF2-40B4-BE49-F238E27FC236}">
              <a16:creationId xmlns:a16="http://schemas.microsoft.com/office/drawing/2014/main" id="{2B95E417-B866-8545-9716-6115707CA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330200</xdr:colOff>
      <xdr:row>9</xdr:row>
      <xdr:rowOff>165100</xdr:rowOff>
    </xdr:from>
    <xdr:to>
      <xdr:col>11</xdr:col>
      <xdr:colOff>342900</xdr:colOff>
      <xdr:row>25</xdr:row>
      <xdr:rowOff>50800</xdr:rowOff>
    </xdr:to>
    <xdr:graphicFrame macro="">
      <xdr:nvGraphicFramePr>
        <xdr:cNvPr id="9" name="Chart 8">
          <a:extLst>
            <a:ext uri="{FF2B5EF4-FFF2-40B4-BE49-F238E27FC236}">
              <a16:creationId xmlns:a16="http://schemas.microsoft.com/office/drawing/2014/main" id="{65FB8ACF-3215-A54E-A6DC-94D8049EF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xdr:colOff>
      <xdr:row>25</xdr:row>
      <xdr:rowOff>76200</xdr:rowOff>
    </xdr:from>
    <xdr:to>
      <xdr:col>5</xdr:col>
      <xdr:colOff>292100</xdr:colOff>
      <xdr:row>41</xdr:row>
      <xdr:rowOff>50800</xdr:rowOff>
    </xdr:to>
    <xdr:graphicFrame macro="">
      <xdr:nvGraphicFramePr>
        <xdr:cNvPr id="11" name="Chart 10">
          <a:extLst>
            <a:ext uri="{FF2B5EF4-FFF2-40B4-BE49-F238E27FC236}">
              <a16:creationId xmlns:a16="http://schemas.microsoft.com/office/drawing/2014/main" id="{DE55D611-A112-6761-4F9A-C78A3289C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330200</xdr:colOff>
      <xdr:row>25</xdr:row>
      <xdr:rowOff>63500</xdr:rowOff>
    </xdr:from>
    <xdr:to>
      <xdr:col>11</xdr:col>
      <xdr:colOff>304800</xdr:colOff>
      <xdr:row>41</xdr:row>
      <xdr:rowOff>88900</xdr:rowOff>
    </xdr:to>
    <xdr:graphicFrame macro="">
      <xdr:nvGraphicFramePr>
        <xdr:cNvPr id="12" name="Chart 11">
          <a:extLst>
            <a:ext uri="{FF2B5EF4-FFF2-40B4-BE49-F238E27FC236}">
              <a16:creationId xmlns:a16="http://schemas.microsoft.com/office/drawing/2014/main" id="{4A3D630E-5E6B-594F-927A-08C239394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482600</xdr:colOff>
      <xdr:row>11</xdr:row>
      <xdr:rowOff>190500</xdr:rowOff>
    </xdr:from>
    <xdr:to>
      <xdr:col>14</xdr:col>
      <xdr:colOff>698500</xdr:colOff>
      <xdr:row>18</xdr:row>
      <xdr:rowOff>152400</xdr:rowOff>
    </xdr:to>
    <xdr:sp macro="" textlink="$A$16">
      <xdr:nvSpPr>
        <xdr:cNvPr id="15" name="Rectangle 14">
          <a:extLst>
            <a:ext uri="{FF2B5EF4-FFF2-40B4-BE49-F238E27FC236}">
              <a16:creationId xmlns:a16="http://schemas.microsoft.com/office/drawing/2014/main" id="{9CE81CE3-1285-3CA2-BE9D-1D03BAA9C520}"/>
            </a:ext>
          </a:extLst>
        </xdr:cNvPr>
        <xdr:cNvSpPr/>
      </xdr:nvSpPr>
      <xdr:spPr>
        <a:xfrm>
          <a:off x="11671300" y="2755900"/>
          <a:ext cx="1866900" cy="1422400"/>
        </a:xfrm>
        <a:prstGeom prst="rect">
          <a:avLst/>
        </a:prstGeom>
        <a:solidFill>
          <a:schemeClr val="bg2">
            <a:lumMod val="9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4895AD7F-9381-F845-833B-B605B797D2E6}" type="TxLink">
            <a:rPr lang="en-US" sz="2000" b="1" i="0" u="none" strike="noStrike">
              <a:solidFill>
                <a:srgbClr val="000000"/>
              </a:solidFill>
              <a:latin typeface="Aptos Narrow"/>
            </a:rPr>
            <a:pPr algn="ctr"/>
            <a:t>Revenue $
281,724</a:t>
          </a:fld>
          <a:endParaRPr lang="en-US" sz="3200" b="1"/>
        </a:p>
      </xdr:txBody>
    </xdr:sp>
    <xdr:clientData/>
  </xdr:twoCellAnchor>
  <xdr:twoCellAnchor>
    <xdr:from>
      <xdr:col>14</xdr:col>
      <xdr:colOff>850900</xdr:colOff>
      <xdr:row>11</xdr:row>
      <xdr:rowOff>190500</xdr:rowOff>
    </xdr:from>
    <xdr:to>
      <xdr:col>15</xdr:col>
      <xdr:colOff>1130300</xdr:colOff>
      <xdr:row>18</xdr:row>
      <xdr:rowOff>152400</xdr:rowOff>
    </xdr:to>
    <xdr:sp macro="" textlink="$B$16">
      <xdr:nvSpPr>
        <xdr:cNvPr id="2" name="Rectangle 1">
          <a:extLst>
            <a:ext uri="{FF2B5EF4-FFF2-40B4-BE49-F238E27FC236}">
              <a16:creationId xmlns:a16="http://schemas.microsoft.com/office/drawing/2014/main" id="{F8F0290B-90E4-6845-8424-0438C56BCB7B}"/>
            </a:ext>
          </a:extLst>
        </xdr:cNvPr>
        <xdr:cNvSpPr/>
      </xdr:nvSpPr>
      <xdr:spPr>
        <a:xfrm>
          <a:off x="13690600" y="2755900"/>
          <a:ext cx="1866900" cy="1422400"/>
        </a:xfrm>
        <a:prstGeom prst="rect">
          <a:avLst/>
        </a:prstGeom>
        <a:solidFill>
          <a:schemeClr val="bg2">
            <a:lumMod val="9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9ABCCCFC-BF54-8048-BBEB-F2DFCF55C2CC}" type="TxLink">
            <a:rPr lang="en-US" sz="2000" b="1" i="0" u="none" strike="noStrike">
              <a:solidFill>
                <a:srgbClr val="000000"/>
              </a:solidFill>
              <a:latin typeface="Aptos Narrow"/>
            </a:rPr>
            <a:pPr algn="ctr"/>
            <a:t>Net Margin %
36.15%</a:t>
          </a:fld>
          <a:endParaRPr lang="en-US" sz="3200" b="1"/>
        </a:p>
      </xdr:txBody>
    </xdr:sp>
    <xdr:clientData/>
  </xdr:twoCellAnchor>
  <xdr:twoCellAnchor>
    <xdr:from>
      <xdr:col>15</xdr:col>
      <xdr:colOff>1320800</xdr:colOff>
      <xdr:row>11</xdr:row>
      <xdr:rowOff>177800</xdr:rowOff>
    </xdr:from>
    <xdr:to>
      <xdr:col>17</xdr:col>
      <xdr:colOff>774700</xdr:colOff>
      <xdr:row>18</xdr:row>
      <xdr:rowOff>139700</xdr:rowOff>
    </xdr:to>
    <xdr:sp macro="" textlink="$C$16">
      <xdr:nvSpPr>
        <xdr:cNvPr id="3" name="Rectangle 2">
          <a:extLst>
            <a:ext uri="{FF2B5EF4-FFF2-40B4-BE49-F238E27FC236}">
              <a16:creationId xmlns:a16="http://schemas.microsoft.com/office/drawing/2014/main" id="{0626049B-4A2A-9B46-BC85-7AFF0FC7FF44}"/>
            </a:ext>
          </a:extLst>
        </xdr:cNvPr>
        <xdr:cNvSpPr/>
      </xdr:nvSpPr>
      <xdr:spPr>
        <a:xfrm>
          <a:off x="15748000" y="2743200"/>
          <a:ext cx="1866900" cy="1422400"/>
        </a:xfrm>
        <a:prstGeom prst="rect">
          <a:avLst/>
        </a:prstGeom>
        <a:solidFill>
          <a:schemeClr val="bg2">
            <a:lumMod val="9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064E7EA5-835A-E743-9AC9-E81C4CC65903}" type="TxLink">
            <a:rPr lang="en-US" sz="2000" b="1" i="0" u="none" strike="noStrike">
              <a:solidFill>
                <a:srgbClr val="000000"/>
              </a:solidFill>
              <a:latin typeface="Aptos Narrow"/>
            </a:rPr>
            <a:pPr algn="ctr"/>
            <a:t>ROE %
43%</a:t>
          </a:fld>
          <a:endParaRPr lang="en-US" sz="3200" b="1"/>
        </a:p>
      </xdr:txBody>
    </xdr:sp>
    <xdr:clientData/>
  </xdr:twoCellAnchor>
  <xdr:twoCellAnchor>
    <xdr:from>
      <xdr:col>13</xdr:col>
      <xdr:colOff>635000</xdr:colOff>
      <xdr:row>19</xdr:row>
      <xdr:rowOff>50800</xdr:rowOff>
    </xdr:from>
    <xdr:to>
      <xdr:col>15</xdr:col>
      <xdr:colOff>88900</xdr:colOff>
      <xdr:row>26</xdr:row>
      <xdr:rowOff>50800</xdr:rowOff>
    </xdr:to>
    <xdr:sp macro="" textlink="$D$16">
      <xdr:nvSpPr>
        <xdr:cNvPr id="4" name="Rectangle 3">
          <a:extLst>
            <a:ext uri="{FF2B5EF4-FFF2-40B4-BE49-F238E27FC236}">
              <a16:creationId xmlns:a16="http://schemas.microsoft.com/office/drawing/2014/main" id="{FFEEB065-35CA-E541-9474-73B206D48C5A}"/>
            </a:ext>
          </a:extLst>
        </xdr:cNvPr>
        <xdr:cNvSpPr/>
      </xdr:nvSpPr>
      <xdr:spPr>
        <a:xfrm>
          <a:off x="12649200" y="4279900"/>
          <a:ext cx="1866900" cy="1422400"/>
        </a:xfrm>
        <a:prstGeom prst="rect">
          <a:avLst/>
        </a:prstGeom>
        <a:solidFill>
          <a:schemeClr val="bg2">
            <a:lumMod val="9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FE3C7A54-3449-EF4E-9A3F-3004E9361A49}" type="TxLink">
            <a:rPr lang="en-US" sz="2000" b="1" i="0" u="none" strike="noStrike">
              <a:solidFill>
                <a:srgbClr val="000000"/>
              </a:solidFill>
              <a:latin typeface="Aptos Narrow"/>
            </a:rPr>
            <a:pPr algn="ctr"/>
            <a:t>FCF $
71,611</a:t>
          </a:fld>
          <a:endParaRPr lang="en-US" sz="3200" b="1"/>
        </a:p>
      </xdr:txBody>
    </xdr:sp>
    <xdr:clientData/>
  </xdr:twoCellAnchor>
  <xdr:twoCellAnchor>
    <xdr:from>
      <xdr:col>15</xdr:col>
      <xdr:colOff>254000</xdr:colOff>
      <xdr:row>19</xdr:row>
      <xdr:rowOff>25400</xdr:rowOff>
    </xdr:from>
    <xdr:to>
      <xdr:col>16</xdr:col>
      <xdr:colOff>533400</xdr:colOff>
      <xdr:row>26</xdr:row>
      <xdr:rowOff>25400</xdr:rowOff>
    </xdr:to>
    <xdr:sp macro="" textlink="$E$16">
      <xdr:nvSpPr>
        <xdr:cNvPr id="5" name="Rectangle 4">
          <a:extLst>
            <a:ext uri="{FF2B5EF4-FFF2-40B4-BE49-F238E27FC236}">
              <a16:creationId xmlns:a16="http://schemas.microsoft.com/office/drawing/2014/main" id="{31D8CE9E-2ACE-764E-AF10-FB28CB15B9A9}"/>
            </a:ext>
          </a:extLst>
        </xdr:cNvPr>
        <xdr:cNvSpPr/>
      </xdr:nvSpPr>
      <xdr:spPr>
        <a:xfrm>
          <a:off x="14681200" y="4254500"/>
          <a:ext cx="1866900" cy="1422400"/>
        </a:xfrm>
        <a:prstGeom prst="rect">
          <a:avLst/>
        </a:prstGeom>
        <a:solidFill>
          <a:schemeClr val="bg2">
            <a:lumMod val="9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880A3ECB-948A-FD49-8D5B-9BD6150AAC1E}" type="TxLink">
            <a:rPr lang="en-US" sz="2000" b="1" i="0" u="none" strike="noStrike">
              <a:solidFill>
                <a:srgbClr val="000000"/>
              </a:solidFill>
              <a:latin typeface="Aptos Narrow"/>
            </a:rPr>
            <a:pPr algn="ctr"/>
            <a:t>Debt Ratio
6.49%</a:t>
          </a:fld>
          <a:endParaRPr lang="en-US" sz="3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9.973755208332" createdVersion="8" refreshedVersion="8" minRefreshableVersion="3" recordCount="30" xr:uid="{66923410-58A1-2449-9265-EC104B05AE2B}">
  <cacheSource type="worksheet">
    <worksheetSource name="tblClean"/>
  </cacheSource>
  <cacheFields count="13">
    <cacheField name="Company " numFmtId="0">
      <sharedItems containsBlank="1" count="3">
        <s v="Apple"/>
        <s v="Microsoft"/>
        <m u="1"/>
      </sharedItems>
    </cacheField>
    <cacheField name="Year " numFmtId="0">
      <sharedItems containsSemiMixedTypes="0" containsString="0" containsNumber="1" containsInteger="1" minValue="2011" maxValue="2025" count="15">
        <n v="2011"/>
        <n v="2012"/>
        <n v="2013"/>
        <n v="2014"/>
        <n v="2015"/>
        <n v="2016"/>
        <n v="2017"/>
        <n v="2018"/>
        <n v="2019"/>
        <n v="2020"/>
        <n v="2021"/>
        <n v="2022"/>
        <n v="2023"/>
        <n v="2024"/>
        <n v="2025"/>
      </sharedItems>
    </cacheField>
    <cacheField name="Revenue" numFmtId="0">
      <sharedItems containsSemiMixedTypes="0" containsString="0" containsNumber="1" containsInteger="1" minValue="69943" maxValue="416161"/>
    </cacheField>
    <cacheField name="Net Income" numFmtId="0">
      <sharedItems containsSemiMixedTypes="0" containsString="0" containsNumber="1" containsInteger="1" minValue="12193" maxValue="112010"/>
    </cacheField>
    <cacheField name="Net Margin (%)" numFmtId="10">
      <sharedItems containsSemiMixedTypes="0" containsString="0" containsNumber="1" minValue="0.13029493481513144" maxValue="0.36686336813436221"/>
    </cacheField>
    <cacheField name="Equity" numFmtId="0">
      <sharedItems containsSemiMixedTypes="0" containsString="0" containsNumber="1" containsInteger="1" minValue="50672" maxValue="238000"/>
    </cacheField>
    <cacheField name="Assets" numFmtId="0">
      <sharedItems containsSemiMixedTypes="0" containsString="0" containsNumber="1" containsInteger="1" minValue="108700" maxValue="619000"/>
    </cacheField>
    <cacheField name="Debt" numFmtId="0">
      <sharedItems containsSemiMixedTypes="0" containsString="0" containsNumber="1" containsInteger="1" minValue="0" maxValue="109106"/>
    </cacheField>
    <cacheField name="FCF" numFmtId="0">
      <sharedItems containsSemiMixedTypes="0" containsString="0" containsNumber="1" containsInteger="1" minValue="23724" maxValue="111443"/>
    </cacheField>
    <cacheField name="FCF Margin (%)" numFmtId="10">
      <sharedItems containsSemiMixedTypes="0" containsString="0" containsNumber="1" minValue="0.22585654833052687" maxValue="0.39771848676803712"/>
    </cacheField>
    <cacheField name="ROE (%)" numFmtId="10">
      <sharedItems containsSemiMixedTypes="0" containsString="0" containsNumber="1" minValue="0.15241250000000001" maxValue="1.9695887275023682"/>
    </cacheField>
    <cacheField name="Debt Ratio" numFmtId="10">
      <sharedItems containsSemiMixedTypes="0" containsString="0" containsNumber="1" minValue="0" maxValue="0.31084153366647482"/>
    </cacheField>
    <cacheField name="Asset Turnover" numFmtId="10">
      <sharedItems containsSemiMixedTypes="0" containsString="0" containsNumber="1" minValue="0.38582101478226127" maxValue="1.1584451663368045"/>
    </cacheField>
  </cacheFields>
  <extLst>
    <ext xmlns:x14="http://schemas.microsoft.com/office/spreadsheetml/2009/9/main" uri="{725AE2AE-9491-48be-B2B4-4EB974FC3084}">
      <x14:pivotCacheDefinition pivotCacheId="52247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108249"/>
    <n v="25922"/>
    <n v="0.2394664153941376"/>
    <n v="76615"/>
    <n v="116371"/>
    <n v="0"/>
    <n v="33269"/>
    <n v="0.30733771212667094"/>
    <n v="0.3383410559289956"/>
    <n v="0"/>
    <n v="0.93020597915288172"/>
  </r>
  <r>
    <x v="0"/>
    <x v="1"/>
    <n v="156508"/>
    <n v="41733"/>
    <n v="0.26665090602397323"/>
    <n v="118210"/>
    <n v="176064"/>
    <n v="0"/>
    <n v="42561"/>
    <n v="0.27194137040918037"/>
    <n v="0.35304119786820065"/>
    <n v="0"/>
    <n v="0.88892675390766995"/>
  </r>
  <r>
    <x v="0"/>
    <x v="2"/>
    <n v="170910"/>
    <n v="37037"/>
    <n v="0.21670469837926393"/>
    <n v="123549"/>
    <n v="207000"/>
    <n v="16960"/>
    <n v="45501"/>
    <n v="0.2662278392136212"/>
    <n v="0.29977579745687943"/>
    <n v="8.1932367149758448E-2"/>
    <n v="0.82565217391304346"/>
  </r>
  <r>
    <x v="0"/>
    <x v="3"/>
    <n v="182795"/>
    <n v="39510"/>
    <n v="0.21614376760852322"/>
    <n v="111547"/>
    <n v="231839"/>
    <n v="28987"/>
    <n v="50142"/>
    <n v="0.27430728411608635"/>
    <n v="0.35420047155010892"/>
    <n v="0.12503073253421557"/>
    <n v="0.78845664448173081"/>
  </r>
  <r>
    <x v="0"/>
    <x v="4"/>
    <n v="233715"/>
    <n v="53394"/>
    <n v="0.22845773698735639"/>
    <n v="119355"/>
    <n v="290345"/>
    <n v="53329"/>
    <n v="70019"/>
    <n v="0.29959138266692337"/>
    <n v="0.44735453060198566"/>
    <n v="0.18367459401746197"/>
    <n v="0.80495617282887599"/>
  </r>
  <r>
    <x v="0"/>
    <x v="5"/>
    <n v="215639"/>
    <n v="45687"/>
    <n v="0.211867983064288"/>
    <n v="128249"/>
    <n v="321686"/>
    <n v="75427"/>
    <n v="53497"/>
    <n v="0.24808592137785837"/>
    <n v="0.35623669580269629"/>
    <n v="0.23447399016432172"/>
    <n v="0.67034002101428103"/>
  </r>
  <r>
    <x v="0"/>
    <x v="6"/>
    <n v="229234"/>
    <n v="48351"/>
    <n v="0.21092420845075338"/>
    <n v="134047"/>
    <n v="375319"/>
    <n v="97207"/>
    <n v="51774"/>
    <n v="0.22585654833052687"/>
    <n v="0.36070184338329092"/>
    <n v="0.25899834540750666"/>
    <n v="0.61077110404749024"/>
  </r>
  <r>
    <x v="0"/>
    <x v="7"/>
    <n v="265595"/>
    <n v="59531"/>
    <n v="0.22414202074587247"/>
    <n v="107147"/>
    <n v="365725"/>
    <n v="93735"/>
    <n v="64121"/>
    <n v="0.24142397258984544"/>
    <n v="0.5556011834209077"/>
    <n v="0.25629913186137127"/>
    <n v="0.7262150522933899"/>
  </r>
  <r>
    <x v="0"/>
    <x v="8"/>
    <n v="260174"/>
    <n v="55256"/>
    <n v="0.21238094505984456"/>
    <n v="90488"/>
    <n v="338516"/>
    <n v="91807"/>
    <n v="58896"/>
    <n v="0.22637158209505945"/>
    <n v="0.61064450534877557"/>
    <n v="0.27120431530562811"/>
    <n v="0.76857223883066084"/>
  </r>
  <r>
    <x v="0"/>
    <x v="9"/>
    <n v="274515"/>
    <n v="57411"/>
    <n v="0.20913611278072236"/>
    <n v="65339"/>
    <n v="323888"/>
    <n v="98667"/>
    <n v="73365"/>
    <n v="0.26725315556526968"/>
    <n v="0.87866358530127486"/>
    <n v="0.30463308304105124"/>
    <n v="0.84756150274168851"/>
  </r>
  <r>
    <x v="0"/>
    <x v="10"/>
    <n v="365817"/>
    <n v="94680"/>
    <n v="0.25881793355694238"/>
    <n v="63090"/>
    <n v="351002"/>
    <n v="109106"/>
    <n v="92953"/>
    <n v="0.25409699385211731"/>
    <n v="1.5007132667617689"/>
    <n v="0.31084153366647482"/>
    <n v="1.0422077367080529"/>
  </r>
  <r>
    <x v="0"/>
    <x v="11"/>
    <n v="394328"/>
    <n v="99803"/>
    <n v="0.25309640705199732"/>
    <n v="50672"/>
    <n v="352755"/>
    <n v="98959"/>
    <n v="111443"/>
    <n v="0.28261498042238947"/>
    <n v="1.9695887275023682"/>
    <n v="0.28053181386514719"/>
    <n v="1.1178523337727317"/>
  </r>
  <r>
    <x v="0"/>
    <x v="12"/>
    <n v="383285"/>
    <n v="96995"/>
    <n v="0.25306234264320282"/>
    <n v="62146"/>
    <n v="352583"/>
    <n v="95281"/>
    <n v="99584"/>
    <n v="0.25981710737440805"/>
    <n v="1.5607601454639075"/>
    <n v="0.27023707892893306"/>
    <n v="1.0870773690166571"/>
  </r>
  <r>
    <x v="0"/>
    <x v="13"/>
    <n v="391035"/>
    <n v="93736"/>
    <n v="0.23971255769943867"/>
    <n v="56950"/>
    <n v="364980"/>
    <n v="85750"/>
    <n v="108807"/>
    <n v="0.27825386474356517"/>
    <n v="1.6459350307287095"/>
    <n v="0.23494438051400077"/>
    <n v="1.0713874732862074"/>
  </r>
  <r>
    <x v="0"/>
    <x v="14"/>
    <n v="416161"/>
    <n v="112010"/>
    <n v="0.26915064121818238"/>
    <n v="73733"/>
    <n v="359241"/>
    <n v="78328"/>
    <n v="98767"/>
    <n v="0.23732882225869315"/>
    <n v="1.5191298333175105"/>
    <n v="0.21803747345097024"/>
    <n v="1.1584451663368045"/>
  </r>
  <r>
    <x v="1"/>
    <x v="0"/>
    <n v="69943"/>
    <n v="23150"/>
    <n v="0.3309838010951775"/>
    <n v="57000"/>
    <n v="108700"/>
    <n v="6146"/>
    <n v="24639"/>
    <n v="0.35227256480276797"/>
    <n v="0.40614035087719297"/>
    <n v="5.6540938362465501E-2"/>
    <n v="0.64344986200551979"/>
  </r>
  <r>
    <x v="1"/>
    <x v="1"/>
    <n v="73723"/>
    <n v="16978"/>
    <n v="0.23029448069123612"/>
    <n v="66500"/>
    <n v="121300"/>
    <n v="10713"/>
    <n v="29321"/>
    <n v="0.39771848676803712"/>
    <n v="0.25530827067669171"/>
    <n v="8.8318219291014008E-2"/>
    <n v="0.60777411376751855"/>
  </r>
  <r>
    <x v="1"/>
    <x v="2"/>
    <n v="77849"/>
    <n v="21863"/>
    <n v="0.28083854641678119"/>
    <n v="78900"/>
    <n v="142400"/>
    <n v="12601"/>
    <n v="24567"/>
    <n v="0.31557245436678699"/>
    <n v="0.27709759188846639"/>
    <n v="8.8490168539325842E-2"/>
    <n v="0.54669241573033711"/>
  </r>
  <r>
    <x v="1"/>
    <x v="3"/>
    <n v="86833"/>
    <n v="22074"/>
    <n v="0.25421210829983992"/>
    <n v="89700"/>
    <n v="172400"/>
    <n v="20645"/>
    <n v="27017"/>
    <n v="0.31113747077723908"/>
    <n v="0.24608695652173912"/>
    <n v="0.11975058004640371"/>
    <n v="0.5036716937354988"/>
  </r>
  <r>
    <x v="1"/>
    <x v="4"/>
    <n v="93580"/>
    <n v="12193"/>
    <n v="0.13029493481513144"/>
    <n v="80000"/>
    <n v="176200"/>
    <n v="27808"/>
    <n v="23724"/>
    <n v="0.25351570848471894"/>
    <n v="0.15241250000000001"/>
    <n v="0.15782065834279227"/>
    <n v="0.53110102156640182"/>
  </r>
  <r>
    <x v="1"/>
    <x v="5"/>
    <n v="91154"/>
    <n v="20539"/>
    <n v="0.22532198257893235"/>
    <n v="71900"/>
    <n v="193700"/>
    <n v="40557"/>
    <n v="24928"/>
    <n v="0.27347126840292252"/>
    <n v="0.28566063977746869"/>
    <n v="0.20938048528652556"/>
    <n v="0.47059370160041303"/>
  </r>
  <r>
    <x v="1"/>
    <x v="6"/>
    <n v="96571"/>
    <n v="25489"/>
    <n v="0.26394052044609667"/>
    <n v="72400"/>
    <n v="250300"/>
    <n v="76073"/>
    <n v="31378"/>
    <n v="0.32492156030278241"/>
    <n v="0.35205801104972373"/>
    <n v="0.30392728725529367"/>
    <n v="0.38582101478226127"/>
  </r>
  <r>
    <x v="1"/>
    <x v="7"/>
    <n v="110360"/>
    <n v="16571"/>
    <n v="0.15015404131931859"/>
    <n v="82700"/>
    <n v="258800"/>
    <n v="72242"/>
    <n v="32353"/>
    <n v="0.29315875317143891"/>
    <n v="0.20037484885126966"/>
    <n v="0.27914219474497681"/>
    <n v="0.42642967542503862"/>
  </r>
  <r>
    <x v="1"/>
    <x v="8"/>
    <n v="125843"/>
    <n v="39240"/>
    <n v="0.31181710544090652"/>
    <n v="102300"/>
    <n v="286600"/>
    <n v="66662"/>
    <n v="38260"/>
    <n v="0.30402962421429874"/>
    <n v="0.3835777126099707"/>
    <n v="0.23259595254710397"/>
    <n v="0.43908932309839499"/>
  </r>
  <r>
    <x v="1"/>
    <x v="9"/>
    <n v="143015"/>
    <n v="44281"/>
    <n v="0.30962486452470023"/>
    <n v="118300"/>
    <n v="301300"/>
    <n v="59578"/>
    <n v="45234"/>
    <n v="0.31628850120616719"/>
    <n v="0.37431107354184279"/>
    <n v="0.19773647527381347"/>
    <n v="0.47465980750082976"/>
  </r>
  <r>
    <x v="1"/>
    <x v="10"/>
    <n v="168088"/>
    <n v="61271"/>
    <n v="0.36451739564989766"/>
    <n v="141900"/>
    <n v="333800"/>
    <n v="50074"/>
    <n v="56118"/>
    <n v="0.33386083480081863"/>
    <n v="0.43178999295278364"/>
    <n v="0.15001198322348711"/>
    <n v="0.5035590173756741"/>
  </r>
  <r>
    <x v="1"/>
    <x v="11"/>
    <n v="198270"/>
    <n v="72738"/>
    <n v="0.36686336813436221"/>
    <n v="166500"/>
    <n v="364800"/>
    <n v="47032"/>
    <n v="65149"/>
    <n v="0.32858727997175569"/>
    <n v="0.43686486486486487"/>
    <n v="0.12892543859649122"/>
    <n v="0.5435032894736842"/>
  </r>
  <r>
    <x v="1"/>
    <x v="12"/>
    <n v="211915"/>
    <n v="72361"/>
    <n v="0.34146237878394642"/>
    <n v="167000"/>
    <n v="411000"/>
    <n v="41990"/>
    <n v="59475"/>
    <n v="0.28065497959087371"/>
    <n v="0.43329940119760479"/>
    <n v="0.1021654501216545"/>
    <n v="0.51560827250608277"/>
  </r>
  <r>
    <x v="1"/>
    <x v="13"/>
    <n v="245122"/>
    <n v="88136"/>
    <n v="0.35955972944084985"/>
    <n v="206000"/>
    <n v="512000"/>
    <n v="42688"/>
    <n v="74071"/>
    <n v="0.30218013886962408"/>
    <n v="0.42784466019417478"/>
    <n v="8.3375000000000005E-2"/>
    <n v="0.47875390625000003"/>
  </r>
  <r>
    <x v="1"/>
    <x v="14"/>
    <n v="281724"/>
    <n v="101832"/>
    <n v="0.36146015248967073"/>
    <n v="238000"/>
    <n v="619000"/>
    <n v="40152"/>
    <n v="71611"/>
    <n v="0.25418849654271558"/>
    <n v="0.42786554621848738"/>
    <n v="6.4865912762520198E-2"/>
    <n v="0.455127625201938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E518E5-BE24-F74E-A6D9-9691F0663DB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D27" firstHeaderRow="1" firstDataRow="2" firstDataCol="1"/>
  <pivotFields count="13">
    <pivotField axis="axisCol" showAll="0">
      <items count="4">
        <item x="0"/>
        <item x="1"/>
        <item m="1" x="2"/>
        <item t="default"/>
      </items>
    </pivotField>
    <pivotField axis="axisRow" showAll="0">
      <items count="16">
        <item x="0"/>
        <item x="1"/>
        <item x="2"/>
        <item x="3"/>
        <item x="4"/>
        <item x="5"/>
        <item x="6"/>
        <item x="7"/>
        <item x="8"/>
        <item x="9"/>
        <item x="10"/>
        <item x="11"/>
        <item x="12"/>
        <item x="13"/>
        <item x="14"/>
        <item t="default"/>
      </items>
    </pivotField>
    <pivotField dataField="1" showAll="0"/>
    <pivotField showAll="0"/>
    <pivotField numFmtId="10" showAll="0"/>
    <pivotField showAll="0"/>
    <pivotField showAll="0"/>
    <pivotField showAll="0"/>
    <pivotField showAll="0"/>
    <pivotField numFmtId="10" showAll="0"/>
    <pivotField numFmtId="10" showAll="0"/>
    <pivotField numFmtId="10" showAll="0"/>
    <pivotField numFmtId="10"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3">
    <i>
      <x/>
    </i>
    <i>
      <x v="1"/>
    </i>
    <i t="grand">
      <x/>
    </i>
  </colItems>
  <dataFields count="1">
    <dataField name="Revenue Comparison (Apple Vs. Microsoft)" fld="2" baseField="0" baseItem="0"/>
  </dataFields>
  <chartFormats count="3">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BE29C4-E316-5D4B-A04F-4340FF62A02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29:I46" firstHeaderRow="1" firstDataRow="2" firstDataCol="1"/>
  <pivotFields count="13">
    <pivotField axis="axisCol" showAll="0">
      <items count="4">
        <item x="0"/>
        <item x="1"/>
        <item m="1" x="2"/>
        <item t="default"/>
      </items>
    </pivotField>
    <pivotField axis="axisRow" showAll="0">
      <items count="16">
        <item x="0"/>
        <item x="1"/>
        <item x="2"/>
        <item x="3"/>
        <item x="4"/>
        <item x="5"/>
        <item x="6"/>
        <item x="7"/>
        <item x="8"/>
        <item x="9"/>
        <item x="10"/>
        <item x="11"/>
        <item x="12"/>
        <item x="13"/>
        <item x="14"/>
        <item t="default"/>
      </items>
    </pivotField>
    <pivotField showAll="0"/>
    <pivotField showAll="0"/>
    <pivotField numFmtId="10" showAll="0"/>
    <pivotField showAll="0"/>
    <pivotField showAll="0"/>
    <pivotField showAll="0"/>
    <pivotField dataField="1" showAll="0"/>
    <pivotField numFmtId="10" showAll="0"/>
    <pivotField numFmtId="10" showAll="0"/>
    <pivotField numFmtId="10" showAll="0"/>
    <pivotField numFmtId="10"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3">
    <i>
      <x/>
    </i>
    <i>
      <x v="1"/>
    </i>
    <i t="grand">
      <x/>
    </i>
  </colItems>
  <dataFields count="1">
    <dataField name="FCF Comparison (Apple Vs. Microsoft)" fld="8" baseField="0" baseItem="0"/>
  </dataFields>
  <chartFormats count="3">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AF44B1-D182-7A49-BEBD-81A7A91DB50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0:I27" firstHeaderRow="1" firstDataRow="2" firstDataCol="1"/>
  <pivotFields count="13">
    <pivotField axis="axisCol" showAll="0">
      <items count="4">
        <item x="0"/>
        <item x="1"/>
        <item m="1" x="2"/>
        <item t="default"/>
      </items>
    </pivotField>
    <pivotField axis="axisRow" showAll="0">
      <items count="16">
        <item x="0"/>
        <item x="1"/>
        <item x="2"/>
        <item x="3"/>
        <item x="4"/>
        <item x="5"/>
        <item x="6"/>
        <item x="7"/>
        <item x="8"/>
        <item x="9"/>
        <item x="10"/>
        <item x="11"/>
        <item x="12"/>
        <item x="13"/>
        <item x="14"/>
        <item t="default"/>
      </items>
    </pivotField>
    <pivotField showAll="0"/>
    <pivotField showAll="0"/>
    <pivotField dataField="1" numFmtId="10" showAll="0"/>
    <pivotField showAll="0"/>
    <pivotField showAll="0"/>
    <pivotField showAll="0"/>
    <pivotField showAll="0"/>
    <pivotField numFmtId="10" showAll="0"/>
    <pivotField numFmtId="10" showAll="0"/>
    <pivotField numFmtId="10" showAll="0"/>
    <pivotField numFmtId="10"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3">
    <i>
      <x/>
    </i>
    <i>
      <x v="1"/>
    </i>
    <i t="grand">
      <x/>
    </i>
  </colItems>
  <dataFields count="1">
    <dataField name="Net Margin (Apple Vs. Microsoft)" fld="4" subtotal="average" baseField="0" baseItem="0" numFmtId="10"/>
  </dataFields>
  <chartFormats count="3">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E4D390-E515-F74E-8979-DCC5BD8858A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D46" firstHeaderRow="1" firstDataRow="2" firstDataCol="1"/>
  <pivotFields count="13">
    <pivotField axis="axisCol" showAll="0">
      <items count="4">
        <item x="0"/>
        <item x="1"/>
        <item m="1" x="2"/>
        <item t="default"/>
      </items>
    </pivotField>
    <pivotField axis="axisRow" showAll="0">
      <items count="16">
        <item x="0"/>
        <item x="1"/>
        <item x="2"/>
        <item x="3"/>
        <item x="4"/>
        <item x="5"/>
        <item x="6"/>
        <item x="7"/>
        <item x="8"/>
        <item x="9"/>
        <item x="10"/>
        <item x="11"/>
        <item x="12"/>
        <item x="13"/>
        <item x="14"/>
        <item t="default"/>
      </items>
    </pivotField>
    <pivotField showAll="0"/>
    <pivotField showAll="0"/>
    <pivotField numFmtId="10" showAll="0"/>
    <pivotField showAll="0"/>
    <pivotField showAll="0"/>
    <pivotField showAll="0"/>
    <pivotField showAll="0"/>
    <pivotField numFmtId="10" showAll="0"/>
    <pivotField dataField="1" numFmtId="10" showAll="0"/>
    <pivotField numFmtId="10" showAll="0"/>
    <pivotField numFmtId="10"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3">
    <i>
      <x/>
    </i>
    <i>
      <x v="1"/>
    </i>
    <i t="grand">
      <x/>
    </i>
  </colItems>
  <dataFields count="1">
    <dataField name="ROE (Apple Vs. Microsoft)" fld="10" subtotal="average" baseField="0" baseItem="0" numFmtId="10"/>
  </dataFields>
  <chartFormats count="3">
    <chartFormat chart="4" format="9" series="1">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81A887A3-BD5A-FD45-92A1-A624A8645FF3}" sourceName="Company ">
  <pivotTables>
    <pivotTable tabId="11" name="PivotTable6"/>
    <pivotTable tabId="11" name="PivotTable7"/>
    <pivotTable tabId="11" name="PivotTable8"/>
    <pivotTable tabId="11" name="PivotTable9"/>
  </pivotTables>
  <data>
    <tabular pivotCacheId="522475065">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 xr10:uid="{6865DCBF-9F65-2C48-9F0A-78CA00DC21DA}" cache="Slicer_Company" caption="Company "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2" xr10:uid="{A1FF9089-49F1-A345-A589-0D9307D23984}" cache="Slicer_Company" caption="Company "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81FFE6-A9C2-7B4C-86E2-416A9CA1B103}" name="tblRevenueRaw" displayName="tblRevenueRaw" ref="A2:C32" totalsRowShown="0" headerRowDxfId="40" dataDxfId="39">
  <autoFilter ref="A2:C32" xr:uid="{6181FFE6-A9C2-7B4C-86E2-416A9CA1B103}"/>
  <tableColumns count="3">
    <tableColumn id="3" xr3:uid="{AD1BDD8E-9BC1-7645-AA5C-27C6EA90CD00}" name="Company" dataDxfId="38"/>
    <tableColumn id="1" xr3:uid="{535DE4A7-83C8-4940-8E8F-C67A0AD1E649}" name="Year" dataDxfId="37"/>
    <tableColumn id="2" xr3:uid="{BB77257F-3B9C-894B-AD27-BBDF6E469106}" name="Revenue"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384CB5-C206-6F4B-997E-8F8927959336}" name="tblNetIncomeRaw" displayName="tblNetIncomeRaw" ref="E2:G32" totalsRowShown="0" headerRowDxfId="35" dataDxfId="34">
  <autoFilter ref="E2:G32" xr:uid="{CA384CB5-C206-6F4B-997E-8F8927959336}"/>
  <tableColumns count="3">
    <tableColumn id="3" xr3:uid="{E93D9F16-63E5-834F-87A6-0E96308DD1DA}" name="Company" dataDxfId="33"/>
    <tableColumn id="1" xr3:uid="{1C5B432A-24EE-B346-9227-BA6B9561101C}" name="Year" dataDxfId="32"/>
    <tableColumn id="2" xr3:uid="{64656FD5-C962-3849-B4ED-75A93CB0CECB}" name="Net Income"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D0940-231A-0E4A-AB5A-CD2F844E0284}" name="tblFCFRaw" displayName="tblFCFRaw" ref="I2:K32" totalsRowShown="0" headerRowDxfId="30" dataDxfId="29">
  <autoFilter ref="I2:K32" xr:uid="{482D0940-231A-0E4A-AB5A-CD2F844E0284}"/>
  <tableColumns count="3">
    <tableColumn id="3" xr3:uid="{4DEB4805-2013-B546-979F-8E89F1CD27A5}" name="Company" dataDxfId="28"/>
    <tableColumn id="1" xr3:uid="{15F96848-CC64-F643-8E95-7B5B27B36A65}" name="Year" dataDxfId="27"/>
    <tableColumn id="2" xr3:uid="{5A678E6D-E0D5-2D4C-8FEA-308B4575F7B5}" name="FCF"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6A7834-075C-F345-B7D5-8930467E4E9F}" name="tblAssetsRaw" displayName="tblAssetsRaw" ref="M2:O32" totalsRowShown="0" headerRowDxfId="25" dataDxfId="24">
  <autoFilter ref="M2:O32" xr:uid="{4C6A7834-075C-F345-B7D5-8930467E4E9F}"/>
  <tableColumns count="3">
    <tableColumn id="3" xr3:uid="{7BEC088E-CD77-1C47-A1B9-53C03798A334}" name="Company" dataDxfId="23"/>
    <tableColumn id="1" xr3:uid="{39B592CB-4ED9-E540-BDB3-03B0717CC95E}" name="Year" dataDxfId="22"/>
    <tableColumn id="2" xr3:uid="{9EC360B1-63D0-874C-ADF3-39BF7D443CDB}" name="Assets"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FA90A9E-D056-5742-86B5-7AE61C31B9F0}" name="tblEquityRaw" displayName="tblEquityRaw" ref="A35:C65" totalsRowShown="0" headerRowDxfId="20" dataDxfId="19">
  <autoFilter ref="A35:C65" xr:uid="{BFA90A9E-D056-5742-86B5-7AE61C31B9F0}"/>
  <tableColumns count="3">
    <tableColumn id="3" xr3:uid="{57D55A8C-7033-744B-876D-8510A81A0985}" name="Company" dataDxfId="18"/>
    <tableColumn id="1" xr3:uid="{24D80C0C-7196-FE45-A38D-8B336732E908}" name="Year" dataDxfId="17"/>
    <tableColumn id="2" xr3:uid="{60A1C51D-9EDC-CC43-9783-A7B69525A81A}" name="Equity" dataDxf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B52154E-E47B-BE43-AEDD-FC2C95E96BD7}" name="tblDebtRaw" displayName="tblDebtRaw" ref="E35:G65" totalsRowShown="0" headerRowDxfId="15" dataDxfId="14">
  <autoFilter ref="E35:G65" xr:uid="{BB52154E-E47B-BE43-AEDD-FC2C95E96BD7}"/>
  <tableColumns count="3">
    <tableColumn id="3" xr3:uid="{D3485E73-D1E4-3B4B-B690-BCA94E3542A2}" name="Company" dataDxfId="13"/>
    <tableColumn id="1" xr3:uid="{BFB9467C-2257-464F-B5D5-15BABCDCD6B8}" name="Year" dataDxfId="12"/>
    <tableColumn id="2" xr3:uid="{257ACA6C-A955-954F-B009-61FEC03BB29E}" name="Debt"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C7886E-E30B-EF4B-9377-39574B87BD3C}" name="tblClean" displayName="tblClean" ref="A1:M31" totalsRowShown="0">
  <autoFilter ref="A1:M31" xr:uid="{3EC7886E-E30B-EF4B-9377-39574B87BD3C}"/>
  <sortState xmlns:xlrd2="http://schemas.microsoft.com/office/spreadsheetml/2017/richdata2" ref="A2:I16">
    <sortCondition ref="B1:B16"/>
  </sortState>
  <tableColumns count="13">
    <tableColumn id="1" xr3:uid="{8811D4E2-208C-4E48-9277-364C730BB08F}" name="Company "/>
    <tableColumn id="2" xr3:uid="{02981D56-9FB7-1D4A-8177-59563722F2EB}" name="Year "/>
    <tableColumn id="3" xr3:uid="{0E3F1CE7-4641-C945-B120-DB0EB472292A}" name="Revenue" dataDxfId="10">
      <calculatedColumnFormula>_xlfn.XLOOKUP(tblClean[[#This Row],[Year ]],tblRevenueRaw[Year],tblRevenueRaw[Revenue])</calculatedColumnFormula>
    </tableColumn>
    <tableColumn id="4" xr3:uid="{55E09567-29C9-DA4F-BF5A-BC44FA23ABF5}" name="Net Income" dataDxfId="9">
      <calculatedColumnFormula>_xlfn.XLOOKUP(tblClean[[#This Row],[Year ]],tblNetIncomeRaw[Year],tblNetIncomeRaw[Net Income])</calculatedColumnFormula>
    </tableColumn>
    <tableColumn id="17" xr3:uid="{14113E9F-B779-2048-A382-DC1B4EFFCBA5}" name="Net Margin (%)" dataDxfId="8" dataCellStyle="Percent">
      <calculatedColumnFormula>IFERROR(tblClean[[#This Row],[Net Income]]/tblClean[[#This Row],[Revenue]], )</calculatedColumnFormula>
    </tableColumn>
    <tableColumn id="5" xr3:uid="{1AE8D5B7-4950-AC43-AA7A-0B06043825FB}" name="Equity" dataDxfId="7">
      <calculatedColumnFormula>_xlfn.XLOOKUP(tblClean[[#This Row],[Year ]],tblEquityRaw[Year],tblEquityRaw[Equity])</calculatedColumnFormula>
    </tableColumn>
    <tableColumn id="6" xr3:uid="{4A33C963-45B7-F249-8C69-D75C6CB6D935}" name="Assets" dataDxfId="6">
      <calculatedColumnFormula>_xlfn.XLOOKUP(tblClean[[#This Row],[Year ]],tblAssetsRaw[Year],tblAssetsRaw[Assets])</calculatedColumnFormula>
    </tableColumn>
    <tableColumn id="7" xr3:uid="{248623C7-2B57-F944-98F8-6E78D3D0F096}" name="Debt" dataDxfId="5">
      <calculatedColumnFormula>_xlfn.XLOOKUP(tblClean[[#This Row],[Year ]],tblDebtRaw[Year],tblDebtRaw[Debt])</calculatedColumnFormula>
    </tableColumn>
    <tableColumn id="8" xr3:uid="{94A1F21D-577D-C046-8ACA-B2075EC7D246}" name="FCF" dataDxfId="4">
      <calculatedColumnFormula>_xlfn.XLOOKUP(tblClean[[#This Row],[Year ]],tblFCFRaw[Year],tblFCFRaw[FCF])</calculatedColumnFormula>
    </tableColumn>
    <tableColumn id="18" xr3:uid="{7E23667C-A3AD-3249-A63C-0D763A6036D3}" name="FCF Margin (%)" dataDxfId="3" dataCellStyle="Percent">
      <calculatedColumnFormula>tblClean[[#This Row],[FCF]]/tblClean[[#This Row],[Revenue]]</calculatedColumnFormula>
    </tableColumn>
    <tableColumn id="21" xr3:uid="{B0764A6E-26EB-DE48-BB48-B49B2C46B05E}" name="ROE (%)" dataDxfId="2" dataCellStyle="Percent">
      <calculatedColumnFormula array="1">IFERROR(tblClean[[#This Row],[Net Income]]/tblClean[[#This Row],[Equity]],_xleta.N/a)</calculatedColumnFormula>
    </tableColumn>
    <tableColumn id="22" xr3:uid="{7D8C877F-B244-844B-A5DE-A38D66B39437}" name="Debt Ratio" dataDxfId="1" dataCellStyle="Percent">
      <calculatedColumnFormula>IFERROR(tblClean[[#This Row],[Debt]]/tblClean[[#This Row],[Assets]], )</calculatedColumnFormula>
    </tableColumn>
    <tableColumn id="24" xr3:uid="{8A6681EA-64C9-AB4D-A511-167369BE0BE9}" name="Asset Turnover" dataDxfId="0" dataCellStyle="Percent">
      <calculatedColumnFormula>tblClean[[#This Row],[Revenue]]/tblClean[[#This Row],[Assets]]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52A5-5DD2-904E-9C93-F6148AF43387}">
  <dimension ref="A1"/>
  <sheetViews>
    <sheetView showGridLines="0" tabSelected="1" workbookViewId="0">
      <selection activeCell="S31" sqref="S31"/>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750B6-328B-5447-98F5-9BA48C5F7C16}">
  <dimension ref="A1:O122"/>
  <sheetViews>
    <sheetView showGridLines="0" topLeftCell="A4" workbookViewId="0">
      <selection activeCell="E35" sqref="E35"/>
    </sheetView>
  </sheetViews>
  <sheetFormatPr baseColWidth="10" defaultRowHeight="18" x14ac:dyDescent="0.2"/>
  <cols>
    <col min="1" max="1" width="27.5" style="12" customWidth="1"/>
    <col min="2" max="2" width="29.33203125" style="13" customWidth="1"/>
    <col min="3" max="4" width="18" style="13" customWidth="1"/>
    <col min="5" max="5" width="32.83203125" style="13" customWidth="1"/>
    <col min="6" max="6" width="24.83203125" style="13" customWidth="1"/>
    <col min="7" max="7" width="18" style="13" customWidth="1"/>
    <col min="8" max="8" width="16.33203125" style="13" customWidth="1"/>
    <col min="9" max="9" width="25.83203125" style="13" customWidth="1"/>
    <col min="10" max="10" width="10.83203125" style="13"/>
    <col min="11" max="11" width="32.83203125" style="13" customWidth="1"/>
    <col min="12" max="12" width="25" style="13" customWidth="1"/>
    <col min="13" max="13" width="18" style="13" customWidth="1"/>
    <col min="14" max="14" width="16.33203125" style="13" customWidth="1"/>
    <col min="15" max="15" width="10.83203125" style="13"/>
  </cols>
  <sheetData>
    <row r="1" spans="1:15" ht="16" customHeight="1" x14ac:dyDescent="0.2">
      <c r="A1" s="36" t="s">
        <v>20</v>
      </c>
      <c r="B1" s="36"/>
      <c r="E1" s="36" t="s">
        <v>19</v>
      </c>
      <c r="F1" s="36"/>
      <c r="G1" s="36"/>
      <c r="I1" s="36" t="s">
        <v>21</v>
      </c>
      <c r="J1" s="36"/>
      <c r="K1" s="36"/>
      <c r="M1" s="36" t="s">
        <v>22</v>
      </c>
      <c r="N1" s="36"/>
      <c r="O1" s="36"/>
    </row>
    <row r="2" spans="1:15" ht="16" customHeight="1" x14ac:dyDescent="0.2">
      <c r="A2" s="11" t="s">
        <v>18</v>
      </c>
      <c r="B2" s="10" t="s">
        <v>1</v>
      </c>
      <c r="C2" s="10" t="s">
        <v>0</v>
      </c>
      <c r="D2" s="10"/>
      <c r="E2" s="10" t="s">
        <v>18</v>
      </c>
      <c r="F2" s="10" t="s">
        <v>1</v>
      </c>
      <c r="G2" s="10" t="s">
        <v>4</v>
      </c>
      <c r="I2" s="10" t="s">
        <v>18</v>
      </c>
      <c r="J2" s="10" t="s">
        <v>1</v>
      </c>
      <c r="K2" s="10" t="s">
        <v>8</v>
      </c>
      <c r="M2" s="14" t="s">
        <v>18</v>
      </c>
      <c r="N2" s="14" t="s">
        <v>1</v>
      </c>
      <c r="O2" s="14" t="s">
        <v>6</v>
      </c>
    </row>
    <row r="3" spans="1:15" ht="18" customHeight="1" x14ac:dyDescent="0.2">
      <c r="A3" s="7" t="s">
        <v>15</v>
      </c>
      <c r="B3" s="8">
        <v>2025</v>
      </c>
      <c r="C3" s="8">
        <v>416161</v>
      </c>
      <c r="D3" s="8"/>
      <c r="E3" s="8" t="s">
        <v>15</v>
      </c>
      <c r="F3" s="8">
        <v>2025</v>
      </c>
      <c r="G3" s="8">
        <v>112010</v>
      </c>
      <c r="I3" s="8" t="s">
        <v>15</v>
      </c>
      <c r="J3" s="8">
        <v>2025</v>
      </c>
      <c r="K3" s="8">
        <v>98767</v>
      </c>
      <c r="M3" s="8" t="s">
        <v>15</v>
      </c>
      <c r="N3" s="8">
        <v>2025</v>
      </c>
      <c r="O3" s="8">
        <v>359241</v>
      </c>
    </row>
    <row r="4" spans="1:15" ht="19" x14ac:dyDescent="0.2">
      <c r="A4" s="7" t="s">
        <v>15</v>
      </c>
      <c r="B4" s="8">
        <v>2024</v>
      </c>
      <c r="C4" s="8">
        <v>391035</v>
      </c>
      <c r="D4" s="8"/>
      <c r="E4" s="8" t="s">
        <v>15</v>
      </c>
      <c r="F4" s="8">
        <v>2024</v>
      </c>
      <c r="G4" s="8">
        <v>93736</v>
      </c>
      <c r="I4" s="8" t="s">
        <v>15</v>
      </c>
      <c r="J4" s="8">
        <v>2024</v>
      </c>
      <c r="K4" s="8">
        <v>108807</v>
      </c>
      <c r="M4" s="8" t="s">
        <v>15</v>
      </c>
      <c r="N4" s="8">
        <v>2024</v>
      </c>
      <c r="O4" s="8">
        <v>364980</v>
      </c>
    </row>
    <row r="5" spans="1:15" ht="19" x14ac:dyDescent="0.2">
      <c r="A5" s="7" t="s">
        <v>15</v>
      </c>
      <c r="B5" s="8">
        <v>2023</v>
      </c>
      <c r="C5" s="8">
        <v>383285</v>
      </c>
      <c r="D5" s="8"/>
      <c r="E5" s="8" t="s">
        <v>15</v>
      </c>
      <c r="F5" s="8">
        <v>2023</v>
      </c>
      <c r="G5" s="8">
        <v>96995</v>
      </c>
      <c r="I5" s="8" t="s">
        <v>15</v>
      </c>
      <c r="J5" s="8">
        <v>2023</v>
      </c>
      <c r="K5" s="8">
        <v>99584</v>
      </c>
      <c r="M5" s="8" t="s">
        <v>15</v>
      </c>
      <c r="N5" s="8">
        <v>2023</v>
      </c>
      <c r="O5" s="8">
        <v>352583</v>
      </c>
    </row>
    <row r="6" spans="1:15" ht="19" x14ac:dyDescent="0.2">
      <c r="A6" s="7" t="s">
        <v>15</v>
      </c>
      <c r="B6" s="8">
        <v>2022</v>
      </c>
      <c r="C6" s="8">
        <v>394328</v>
      </c>
      <c r="D6" s="8"/>
      <c r="E6" s="8" t="s">
        <v>15</v>
      </c>
      <c r="F6" s="8">
        <v>2022</v>
      </c>
      <c r="G6" s="8">
        <v>99803</v>
      </c>
      <c r="I6" s="8" t="s">
        <v>15</v>
      </c>
      <c r="J6" s="8">
        <v>2022</v>
      </c>
      <c r="K6" s="8">
        <v>111443</v>
      </c>
      <c r="M6" s="8" t="s">
        <v>15</v>
      </c>
      <c r="N6" s="8">
        <v>2022</v>
      </c>
      <c r="O6" s="8">
        <v>352755</v>
      </c>
    </row>
    <row r="7" spans="1:15" ht="19" x14ac:dyDescent="0.2">
      <c r="A7" s="7" t="s">
        <v>15</v>
      </c>
      <c r="B7" s="8">
        <v>2021</v>
      </c>
      <c r="C7" s="8">
        <v>365817</v>
      </c>
      <c r="D7" s="8"/>
      <c r="E7" s="8" t="s">
        <v>15</v>
      </c>
      <c r="F7" s="8">
        <v>2021</v>
      </c>
      <c r="G7" s="8">
        <v>94680</v>
      </c>
      <c r="I7" s="8" t="s">
        <v>15</v>
      </c>
      <c r="J7" s="8">
        <v>2021</v>
      </c>
      <c r="K7" s="8">
        <v>92953</v>
      </c>
      <c r="M7" s="8" t="s">
        <v>15</v>
      </c>
      <c r="N7" s="8">
        <v>2021</v>
      </c>
      <c r="O7" s="8">
        <v>351002</v>
      </c>
    </row>
    <row r="8" spans="1:15" ht="19" x14ac:dyDescent="0.2">
      <c r="A8" s="7" t="s">
        <v>15</v>
      </c>
      <c r="B8" s="8">
        <v>2020</v>
      </c>
      <c r="C8" s="8">
        <v>274515</v>
      </c>
      <c r="D8" s="8"/>
      <c r="E8" s="8" t="s">
        <v>15</v>
      </c>
      <c r="F8" s="8">
        <v>2020</v>
      </c>
      <c r="G8" s="8">
        <v>57411</v>
      </c>
      <c r="I8" s="8" t="s">
        <v>15</v>
      </c>
      <c r="J8" s="8">
        <v>2020</v>
      </c>
      <c r="K8" s="8">
        <v>73365</v>
      </c>
      <c r="M8" s="8" t="s">
        <v>15</v>
      </c>
      <c r="N8" s="8">
        <v>2020</v>
      </c>
      <c r="O8" s="8">
        <v>323888</v>
      </c>
    </row>
    <row r="9" spans="1:15" ht="19" x14ac:dyDescent="0.2">
      <c r="A9" s="7" t="s">
        <v>15</v>
      </c>
      <c r="B9" s="8">
        <v>2019</v>
      </c>
      <c r="C9" s="8">
        <v>260174</v>
      </c>
      <c r="D9" s="8"/>
      <c r="E9" s="8" t="s">
        <v>15</v>
      </c>
      <c r="F9" s="8">
        <v>2019</v>
      </c>
      <c r="G9" s="8">
        <v>55256</v>
      </c>
      <c r="I9" s="8" t="s">
        <v>15</v>
      </c>
      <c r="J9" s="8">
        <v>2019</v>
      </c>
      <c r="K9" s="8">
        <v>58896</v>
      </c>
      <c r="M9" s="8" t="s">
        <v>15</v>
      </c>
      <c r="N9" s="8">
        <v>2019</v>
      </c>
      <c r="O9" s="8">
        <v>338516</v>
      </c>
    </row>
    <row r="10" spans="1:15" ht="19" x14ac:dyDescent="0.2">
      <c r="A10" s="7" t="s">
        <v>15</v>
      </c>
      <c r="B10" s="8">
        <v>2018</v>
      </c>
      <c r="C10" s="8">
        <v>265595</v>
      </c>
      <c r="D10" s="8"/>
      <c r="E10" s="8" t="s">
        <v>15</v>
      </c>
      <c r="F10" s="8">
        <v>2018</v>
      </c>
      <c r="G10" s="8">
        <v>59531</v>
      </c>
      <c r="I10" s="8" t="s">
        <v>15</v>
      </c>
      <c r="J10" s="8">
        <v>2018</v>
      </c>
      <c r="K10" s="8">
        <v>64121</v>
      </c>
      <c r="M10" s="8" t="s">
        <v>15</v>
      </c>
      <c r="N10" s="8">
        <v>2018</v>
      </c>
      <c r="O10" s="8">
        <v>365725</v>
      </c>
    </row>
    <row r="11" spans="1:15" ht="19" x14ac:dyDescent="0.2">
      <c r="A11" s="7" t="s">
        <v>15</v>
      </c>
      <c r="B11" s="8">
        <v>2017</v>
      </c>
      <c r="C11" s="8">
        <v>229234</v>
      </c>
      <c r="D11" s="8"/>
      <c r="E11" s="8" t="s">
        <v>15</v>
      </c>
      <c r="F11" s="8">
        <v>2017</v>
      </c>
      <c r="G11" s="8">
        <v>48351</v>
      </c>
      <c r="I11" s="8" t="s">
        <v>15</v>
      </c>
      <c r="J11" s="8">
        <v>2017</v>
      </c>
      <c r="K11" s="8">
        <v>51774</v>
      </c>
      <c r="M11" s="8" t="s">
        <v>15</v>
      </c>
      <c r="N11" s="8">
        <v>2017</v>
      </c>
      <c r="O11" s="8">
        <v>375319</v>
      </c>
    </row>
    <row r="12" spans="1:15" ht="19" x14ac:dyDescent="0.2">
      <c r="A12" s="7" t="s">
        <v>15</v>
      </c>
      <c r="B12" s="8">
        <v>2016</v>
      </c>
      <c r="C12" s="8">
        <v>215639</v>
      </c>
      <c r="D12" s="8"/>
      <c r="E12" s="8" t="s">
        <v>15</v>
      </c>
      <c r="F12" s="8">
        <v>2016</v>
      </c>
      <c r="G12" s="8">
        <v>45687</v>
      </c>
      <c r="I12" s="8" t="s">
        <v>15</v>
      </c>
      <c r="J12" s="8">
        <v>2016</v>
      </c>
      <c r="K12" s="8">
        <v>53497</v>
      </c>
      <c r="M12" s="8" t="s">
        <v>15</v>
      </c>
      <c r="N12" s="8">
        <v>2016</v>
      </c>
      <c r="O12" s="8">
        <v>321686</v>
      </c>
    </row>
    <row r="13" spans="1:15" ht="19" x14ac:dyDescent="0.2">
      <c r="A13" s="7" t="s">
        <v>15</v>
      </c>
      <c r="B13" s="8">
        <v>2015</v>
      </c>
      <c r="C13" s="8">
        <v>233715</v>
      </c>
      <c r="D13" s="8"/>
      <c r="E13" s="8" t="s">
        <v>15</v>
      </c>
      <c r="F13" s="8">
        <v>2015</v>
      </c>
      <c r="G13" s="8">
        <v>53394</v>
      </c>
      <c r="I13" s="8" t="s">
        <v>15</v>
      </c>
      <c r="J13" s="8">
        <v>2015</v>
      </c>
      <c r="K13" s="8">
        <v>70019</v>
      </c>
      <c r="M13" s="8" t="s">
        <v>15</v>
      </c>
      <c r="N13" s="8">
        <v>2015</v>
      </c>
      <c r="O13" s="8">
        <v>290345</v>
      </c>
    </row>
    <row r="14" spans="1:15" ht="19" x14ac:dyDescent="0.2">
      <c r="A14" s="7" t="s">
        <v>15</v>
      </c>
      <c r="B14" s="8">
        <v>2014</v>
      </c>
      <c r="C14" s="8">
        <v>182795</v>
      </c>
      <c r="D14" s="8"/>
      <c r="E14" s="8" t="s">
        <v>15</v>
      </c>
      <c r="F14" s="8">
        <v>2014</v>
      </c>
      <c r="G14" s="8">
        <v>39510</v>
      </c>
      <c r="I14" s="8" t="s">
        <v>15</v>
      </c>
      <c r="J14" s="8">
        <v>2014</v>
      </c>
      <c r="K14" s="8">
        <v>50142</v>
      </c>
      <c r="M14" s="8" t="s">
        <v>15</v>
      </c>
      <c r="N14" s="8">
        <v>2014</v>
      </c>
      <c r="O14" s="8">
        <v>231839</v>
      </c>
    </row>
    <row r="15" spans="1:15" ht="19" x14ac:dyDescent="0.2">
      <c r="A15" s="7" t="s">
        <v>15</v>
      </c>
      <c r="B15" s="8">
        <v>2013</v>
      </c>
      <c r="C15" s="8">
        <v>170910</v>
      </c>
      <c r="D15" s="8"/>
      <c r="E15" s="8" t="s">
        <v>15</v>
      </c>
      <c r="F15" s="8">
        <v>2013</v>
      </c>
      <c r="G15" s="8">
        <v>37037</v>
      </c>
      <c r="I15" s="8" t="s">
        <v>15</v>
      </c>
      <c r="J15" s="8">
        <v>2013</v>
      </c>
      <c r="K15" s="8">
        <v>45501</v>
      </c>
      <c r="M15" s="8" t="s">
        <v>15</v>
      </c>
      <c r="N15" s="8">
        <v>2013</v>
      </c>
      <c r="O15" s="8">
        <v>207000</v>
      </c>
    </row>
    <row r="16" spans="1:15" ht="19" x14ac:dyDescent="0.2">
      <c r="A16" s="7" t="s">
        <v>15</v>
      </c>
      <c r="B16" s="8">
        <v>2012</v>
      </c>
      <c r="C16" s="8">
        <v>156508</v>
      </c>
      <c r="D16" s="8"/>
      <c r="E16" s="8" t="s">
        <v>15</v>
      </c>
      <c r="F16" s="8">
        <v>2012</v>
      </c>
      <c r="G16" s="8">
        <v>41733</v>
      </c>
      <c r="I16" s="8" t="s">
        <v>15</v>
      </c>
      <c r="J16" s="8">
        <v>2012</v>
      </c>
      <c r="K16" s="8">
        <v>42561</v>
      </c>
      <c r="M16" s="8" t="s">
        <v>15</v>
      </c>
      <c r="N16" s="8">
        <v>2012</v>
      </c>
      <c r="O16" s="8">
        <v>176064</v>
      </c>
    </row>
    <row r="17" spans="1:15" ht="19" x14ac:dyDescent="0.2">
      <c r="A17" s="7" t="s">
        <v>15</v>
      </c>
      <c r="B17" s="8">
        <v>2011</v>
      </c>
      <c r="C17" s="8">
        <v>108249</v>
      </c>
      <c r="D17" s="8"/>
      <c r="E17" s="8" t="s">
        <v>15</v>
      </c>
      <c r="F17" s="8">
        <v>2011</v>
      </c>
      <c r="G17" s="8">
        <v>25922</v>
      </c>
      <c r="I17" s="8" t="s">
        <v>15</v>
      </c>
      <c r="J17" s="8">
        <v>2011</v>
      </c>
      <c r="K17" s="8">
        <v>33269</v>
      </c>
      <c r="M17" s="8" t="s">
        <v>15</v>
      </c>
      <c r="N17" s="8">
        <v>2011</v>
      </c>
      <c r="O17" s="8">
        <v>116371</v>
      </c>
    </row>
    <row r="18" spans="1:15" ht="19" x14ac:dyDescent="0.2">
      <c r="A18" s="7" t="s">
        <v>17</v>
      </c>
      <c r="B18" s="9">
        <v>2025</v>
      </c>
      <c r="C18" s="9">
        <v>281724</v>
      </c>
      <c r="D18" s="8"/>
      <c r="E18" s="7" t="s">
        <v>17</v>
      </c>
      <c r="F18" s="8">
        <v>2025</v>
      </c>
      <c r="G18" s="8">
        <v>101832</v>
      </c>
      <c r="I18" s="8" t="s">
        <v>17</v>
      </c>
      <c r="J18" s="8">
        <v>2025</v>
      </c>
      <c r="K18" s="8">
        <v>71611</v>
      </c>
      <c r="M18" s="8" t="s">
        <v>17</v>
      </c>
      <c r="N18" s="8">
        <v>2025</v>
      </c>
      <c r="O18" s="8">
        <v>619000</v>
      </c>
    </row>
    <row r="19" spans="1:15" ht="19" x14ac:dyDescent="0.2">
      <c r="A19" s="7" t="s">
        <v>17</v>
      </c>
      <c r="B19" s="9">
        <v>2024</v>
      </c>
      <c r="C19" s="9">
        <v>245122</v>
      </c>
      <c r="D19" s="8"/>
      <c r="E19" s="7" t="s">
        <v>17</v>
      </c>
      <c r="F19" s="8">
        <v>2024</v>
      </c>
      <c r="G19" s="8">
        <v>88136</v>
      </c>
      <c r="I19" s="8" t="s">
        <v>17</v>
      </c>
      <c r="J19" s="8">
        <v>2024</v>
      </c>
      <c r="K19" s="8">
        <v>74071</v>
      </c>
      <c r="M19" s="8" t="s">
        <v>17</v>
      </c>
      <c r="N19" s="8">
        <v>2024</v>
      </c>
      <c r="O19" s="8">
        <v>512000</v>
      </c>
    </row>
    <row r="20" spans="1:15" ht="19" x14ac:dyDescent="0.2">
      <c r="A20" s="7" t="s">
        <v>17</v>
      </c>
      <c r="B20" s="9">
        <v>2023</v>
      </c>
      <c r="C20" s="9">
        <v>211915</v>
      </c>
      <c r="D20" s="8"/>
      <c r="E20" s="7" t="s">
        <v>17</v>
      </c>
      <c r="F20" s="8">
        <v>2023</v>
      </c>
      <c r="G20" s="8">
        <v>72361</v>
      </c>
      <c r="I20" s="8" t="s">
        <v>17</v>
      </c>
      <c r="J20" s="8">
        <v>2023</v>
      </c>
      <c r="K20" s="8">
        <v>59475</v>
      </c>
      <c r="M20" s="8" t="s">
        <v>17</v>
      </c>
      <c r="N20" s="8">
        <v>2023</v>
      </c>
      <c r="O20" s="8">
        <v>411000</v>
      </c>
    </row>
    <row r="21" spans="1:15" ht="19" x14ac:dyDescent="0.2">
      <c r="A21" s="7" t="s">
        <v>17</v>
      </c>
      <c r="B21" s="9">
        <v>2022</v>
      </c>
      <c r="C21" s="9">
        <v>198270</v>
      </c>
      <c r="D21" s="8"/>
      <c r="E21" s="7" t="s">
        <v>17</v>
      </c>
      <c r="F21" s="8">
        <v>2022</v>
      </c>
      <c r="G21" s="8">
        <v>72738</v>
      </c>
      <c r="I21" s="8" t="s">
        <v>17</v>
      </c>
      <c r="J21" s="8">
        <v>2022</v>
      </c>
      <c r="K21" s="8">
        <v>65149</v>
      </c>
      <c r="M21" s="8" t="s">
        <v>17</v>
      </c>
      <c r="N21" s="8">
        <v>2022</v>
      </c>
      <c r="O21" s="8">
        <v>364800</v>
      </c>
    </row>
    <row r="22" spans="1:15" ht="19" x14ac:dyDescent="0.2">
      <c r="A22" s="7" t="s">
        <v>17</v>
      </c>
      <c r="B22" s="9">
        <v>2021</v>
      </c>
      <c r="C22" s="9">
        <v>168088</v>
      </c>
      <c r="D22" s="8"/>
      <c r="E22" s="7" t="s">
        <v>17</v>
      </c>
      <c r="F22" s="8">
        <v>2021</v>
      </c>
      <c r="G22" s="8">
        <v>61271</v>
      </c>
      <c r="I22" s="8" t="s">
        <v>17</v>
      </c>
      <c r="J22" s="8">
        <v>2021</v>
      </c>
      <c r="K22" s="8">
        <v>56118</v>
      </c>
      <c r="M22" s="8" t="s">
        <v>17</v>
      </c>
      <c r="N22" s="8">
        <v>2021</v>
      </c>
      <c r="O22" s="8">
        <v>333800</v>
      </c>
    </row>
    <row r="23" spans="1:15" ht="19" x14ac:dyDescent="0.2">
      <c r="A23" s="7" t="s">
        <v>17</v>
      </c>
      <c r="B23" s="9">
        <v>2020</v>
      </c>
      <c r="C23" s="9">
        <v>143015</v>
      </c>
      <c r="D23" s="8"/>
      <c r="E23" s="7" t="s">
        <v>17</v>
      </c>
      <c r="F23" s="8">
        <v>2020</v>
      </c>
      <c r="G23" s="8">
        <v>44281</v>
      </c>
      <c r="I23" s="8" t="s">
        <v>17</v>
      </c>
      <c r="J23" s="8">
        <v>2020</v>
      </c>
      <c r="K23" s="8">
        <v>45234</v>
      </c>
      <c r="M23" s="8" t="s">
        <v>17</v>
      </c>
      <c r="N23" s="8">
        <v>2020</v>
      </c>
      <c r="O23" s="8">
        <v>301300</v>
      </c>
    </row>
    <row r="24" spans="1:15" ht="19" x14ac:dyDescent="0.2">
      <c r="A24" s="7" t="s">
        <v>17</v>
      </c>
      <c r="B24" s="9">
        <v>2019</v>
      </c>
      <c r="C24" s="9">
        <v>125843</v>
      </c>
      <c r="D24" s="8"/>
      <c r="E24" s="7" t="s">
        <v>17</v>
      </c>
      <c r="F24" s="8">
        <v>2019</v>
      </c>
      <c r="G24" s="8">
        <v>39240</v>
      </c>
      <c r="I24" s="8" t="s">
        <v>17</v>
      </c>
      <c r="J24" s="8">
        <v>2019</v>
      </c>
      <c r="K24" s="8">
        <v>38260</v>
      </c>
      <c r="M24" s="8" t="s">
        <v>17</v>
      </c>
      <c r="N24" s="8">
        <v>2019</v>
      </c>
      <c r="O24" s="8">
        <v>286600</v>
      </c>
    </row>
    <row r="25" spans="1:15" ht="19" x14ac:dyDescent="0.2">
      <c r="A25" s="7" t="s">
        <v>17</v>
      </c>
      <c r="B25" s="9">
        <v>2018</v>
      </c>
      <c r="C25" s="9">
        <v>110360</v>
      </c>
      <c r="D25" s="8"/>
      <c r="E25" s="7" t="s">
        <v>17</v>
      </c>
      <c r="F25" s="8">
        <v>2018</v>
      </c>
      <c r="G25" s="8">
        <v>16571</v>
      </c>
      <c r="I25" s="8" t="s">
        <v>17</v>
      </c>
      <c r="J25" s="8">
        <v>2018</v>
      </c>
      <c r="K25" s="8">
        <v>32353</v>
      </c>
      <c r="M25" s="8" t="s">
        <v>17</v>
      </c>
      <c r="N25" s="8">
        <v>2018</v>
      </c>
      <c r="O25" s="8">
        <v>258800</v>
      </c>
    </row>
    <row r="26" spans="1:15" ht="19" x14ac:dyDescent="0.2">
      <c r="A26" s="7" t="s">
        <v>17</v>
      </c>
      <c r="B26" s="9">
        <v>2017</v>
      </c>
      <c r="C26" s="9">
        <v>96571</v>
      </c>
      <c r="D26" s="8"/>
      <c r="E26" s="7" t="s">
        <v>17</v>
      </c>
      <c r="F26" s="8">
        <v>2017</v>
      </c>
      <c r="G26" s="8">
        <v>25489</v>
      </c>
      <c r="I26" s="8" t="s">
        <v>17</v>
      </c>
      <c r="J26" s="8">
        <v>2017</v>
      </c>
      <c r="K26" s="8">
        <v>31378</v>
      </c>
      <c r="M26" s="8" t="s">
        <v>17</v>
      </c>
      <c r="N26" s="8">
        <v>2017</v>
      </c>
      <c r="O26" s="8">
        <v>250300</v>
      </c>
    </row>
    <row r="27" spans="1:15" ht="19" x14ac:dyDescent="0.2">
      <c r="A27" s="7" t="s">
        <v>17</v>
      </c>
      <c r="B27" s="9">
        <v>2016</v>
      </c>
      <c r="C27" s="9">
        <v>91154</v>
      </c>
      <c r="D27" s="8"/>
      <c r="E27" s="7" t="s">
        <v>17</v>
      </c>
      <c r="F27" s="8">
        <v>2016</v>
      </c>
      <c r="G27" s="8">
        <v>20539</v>
      </c>
      <c r="I27" s="8" t="s">
        <v>17</v>
      </c>
      <c r="J27" s="8">
        <v>2016</v>
      </c>
      <c r="K27" s="8">
        <v>24928</v>
      </c>
      <c r="M27" s="8" t="s">
        <v>17</v>
      </c>
      <c r="N27" s="8">
        <v>2016</v>
      </c>
      <c r="O27" s="8">
        <v>193700</v>
      </c>
    </row>
    <row r="28" spans="1:15" ht="19" x14ac:dyDescent="0.2">
      <c r="A28" s="7" t="s">
        <v>17</v>
      </c>
      <c r="B28" s="9">
        <v>2015</v>
      </c>
      <c r="C28" s="9">
        <v>93580</v>
      </c>
      <c r="D28" s="8"/>
      <c r="E28" s="7" t="s">
        <v>17</v>
      </c>
      <c r="F28" s="8">
        <v>2015</v>
      </c>
      <c r="G28" s="8">
        <v>12193</v>
      </c>
      <c r="I28" s="8" t="s">
        <v>17</v>
      </c>
      <c r="J28" s="8">
        <v>2015</v>
      </c>
      <c r="K28" s="8">
        <v>23724</v>
      </c>
      <c r="M28" s="8" t="s">
        <v>17</v>
      </c>
      <c r="N28" s="8">
        <v>2015</v>
      </c>
      <c r="O28" s="8">
        <v>176200</v>
      </c>
    </row>
    <row r="29" spans="1:15" ht="19" x14ac:dyDescent="0.2">
      <c r="A29" s="7" t="s">
        <v>17</v>
      </c>
      <c r="B29" s="9">
        <v>2014</v>
      </c>
      <c r="C29" s="9">
        <v>86833</v>
      </c>
      <c r="E29" s="7" t="s">
        <v>17</v>
      </c>
      <c r="F29" s="8">
        <v>2014</v>
      </c>
      <c r="G29" s="8">
        <v>22074</v>
      </c>
      <c r="I29" s="8" t="s">
        <v>17</v>
      </c>
      <c r="J29" s="8">
        <v>2014</v>
      </c>
      <c r="K29" s="8">
        <v>27017</v>
      </c>
      <c r="M29" s="8" t="s">
        <v>17</v>
      </c>
      <c r="N29" s="8">
        <v>2014</v>
      </c>
      <c r="O29" s="8">
        <v>172400</v>
      </c>
    </row>
    <row r="30" spans="1:15" ht="16" customHeight="1" x14ac:dyDescent="0.2">
      <c r="A30" s="7" t="s">
        <v>17</v>
      </c>
      <c r="B30" s="9">
        <v>2013</v>
      </c>
      <c r="C30" s="9">
        <v>77849</v>
      </c>
      <c r="E30" s="7" t="s">
        <v>17</v>
      </c>
      <c r="F30" s="8">
        <v>2013</v>
      </c>
      <c r="G30" s="8">
        <v>21863</v>
      </c>
      <c r="I30" s="8" t="s">
        <v>17</v>
      </c>
      <c r="J30" s="8">
        <v>2013</v>
      </c>
      <c r="K30" s="8">
        <v>24567</v>
      </c>
      <c r="M30" s="8" t="s">
        <v>17</v>
      </c>
      <c r="N30" s="8">
        <v>2013</v>
      </c>
      <c r="O30" s="8">
        <v>142400</v>
      </c>
    </row>
    <row r="31" spans="1:15" ht="18" customHeight="1" x14ac:dyDescent="0.2">
      <c r="A31" s="7" t="s">
        <v>17</v>
      </c>
      <c r="B31" s="8">
        <v>2012</v>
      </c>
      <c r="C31" s="8">
        <v>73723</v>
      </c>
      <c r="D31" s="15"/>
      <c r="E31" s="7" t="s">
        <v>17</v>
      </c>
      <c r="F31" s="8">
        <v>2012</v>
      </c>
      <c r="G31" s="8">
        <v>16978</v>
      </c>
      <c r="I31" s="8" t="s">
        <v>17</v>
      </c>
      <c r="J31" s="8">
        <v>2012</v>
      </c>
      <c r="K31" s="8">
        <v>29321</v>
      </c>
      <c r="M31" s="8" t="s">
        <v>17</v>
      </c>
      <c r="N31" s="8">
        <v>2012</v>
      </c>
      <c r="O31" s="8">
        <v>121300</v>
      </c>
    </row>
    <row r="32" spans="1:15" ht="18" customHeight="1" x14ac:dyDescent="0.2">
      <c r="A32" s="7" t="s">
        <v>17</v>
      </c>
      <c r="B32" s="8">
        <v>2011</v>
      </c>
      <c r="C32" s="8">
        <v>69943</v>
      </c>
      <c r="D32" s="8"/>
      <c r="E32" s="8" t="s">
        <v>17</v>
      </c>
      <c r="F32" s="8">
        <v>2011</v>
      </c>
      <c r="G32" s="8">
        <v>23150</v>
      </c>
      <c r="I32" s="8" t="s">
        <v>17</v>
      </c>
      <c r="J32" s="8">
        <v>2011</v>
      </c>
      <c r="K32" s="8">
        <v>24639</v>
      </c>
      <c r="M32" s="8" t="s">
        <v>17</v>
      </c>
      <c r="N32" s="8">
        <v>2011</v>
      </c>
      <c r="O32" s="8">
        <v>108700</v>
      </c>
    </row>
    <row r="33" spans="1:14" x14ac:dyDescent="0.2">
      <c r="M33" s="16"/>
      <c r="N33" s="16"/>
    </row>
    <row r="34" spans="1:14" x14ac:dyDescent="0.2">
      <c r="A34" s="37" t="s">
        <v>34</v>
      </c>
      <c r="B34" s="37"/>
      <c r="D34" s="8"/>
      <c r="E34" s="37" t="s">
        <v>35</v>
      </c>
      <c r="F34" s="37"/>
      <c r="M34" s="16"/>
      <c r="N34" s="16"/>
    </row>
    <row r="35" spans="1:14" ht="19" x14ac:dyDescent="0.2">
      <c r="A35" s="17" t="s">
        <v>18</v>
      </c>
      <c r="B35" s="15" t="s">
        <v>1</v>
      </c>
      <c r="C35" s="15" t="s">
        <v>5</v>
      </c>
      <c r="D35" s="8"/>
      <c r="E35" s="14" t="s">
        <v>18</v>
      </c>
      <c r="F35" s="14" t="s">
        <v>1</v>
      </c>
      <c r="G35" s="14" t="s">
        <v>7</v>
      </c>
      <c r="M35" s="16"/>
      <c r="N35" s="16"/>
    </row>
    <row r="36" spans="1:14" ht="19" x14ac:dyDescent="0.2">
      <c r="A36" s="7" t="s">
        <v>15</v>
      </c>
      <c r="B36" s="8">
        <v>2025</v>
      </c>
      <c r="C36" s="8">
        <v>73733</v>
      </c>
      <c r="D36" s="8"/>
      <c r="E36" s="16" t="s">
        <v>15</v>
      </c>
      <c r="F36" s="16">
        <v>2025</v>
      </c>
      <c r="G36" s="8">
        <v>78328</v>
      </c>
      <c r="M36" s="16"/>
      <c r="N36" s="16"/>
    </row>
    <row r="37" spans="1:14" ht="19" x14ac:dyDescent="0.2">
      <c r="A37" s="7" t="s">
        <v>15</v>
      </c>
      <c r="B37" s="8">
        <v>2024</v>
      </c>
      <c r="C37" s="8">
        <v>56950</v>
      </c>
      <c r="D37" s="8"/>
      <c r="E37" s="16" t="s">
        <v>15</v>
      </c>
      <c r="F37" s="16">
        <v>2024</v>
      </c>
      <c r="G37" s="8">
        <v>85750</v>
      </c>
      <c r="M37" s="16"/>
      <c r="N37" s="16"/>
    </row>
    <row r="38" spans="1:14" ht="19" x14ac:dyDescent="0.2">
      <c r="A38" s="7" t="s">
        <v>15</v>
      </c>
      <c r="B38" s="8">
        <v>2023</v>
      </c>
      <c r="C38" s="8">
        <v>62146</v>
      </c>
      <c r="D38" s="8"/>
      <c r="E38" s="16" t="s">
        <v>15</v>
      </c>
      <c r="F38" s="16">
        <v>2023</v>
      </c>
      <c r="G38" s="8">
        <v>95281</v>
      </c>
      <c r="M38" s="16"/>
      <c r="N38" s="16"/>
    </row>
    <row r="39" spans="1:14" ht="19" x14ac:dyDescent="0.2">
      <c r="A39" s="7" t="s">
        <v>15</v>
      </c>
      <c r="B39" s="8">
        <v>2022</v>
      </c>
      <c r="C39" s="8">
        <v>50672</v>
      </c>
      <c r="D39" s="8"/>
      <c r="E39" s="16" t="s">
        <v>15</v>
      </c>
      <c r="F39" s="16">
        <v>2022</v>
      </c>
      <c r="G39" s="8">
        <v>98959</v>
      </c>
      <c r="M39" s="16"/>
      <c r="N39" s="16"/>
    </row>
    <row r="40" spans="1:14" ht="19" x14ac:dyDescent="0.2">
      <c r="A40" s="7" t="s">
        <v>15</v>
      </c>
      <c r="B40" s="8">
        <v>2021</v>
      </c>
      <c r="C40" s="8">
        <v>63090</v>
      </c>
      <c r="D40" s="8"/>
      <c r="E40" s="16" t="s">
        <v>15</v>
      </c>
      <c r="F40" s="16">
        <v>2021</v>
      </c>
      <c r="G40" s="8">
        <v>109106</v>
      </c>
      <c r="M40" s="16"/>
      <c r="N40" s="16"/>
    </row>
    <row r="41" spans="1:14" ht="19" x14ac:dyDescent="0.2">
      <c r="A41" s="7" t="s">
        <v>15</v>
      </c>
      <c r="B41" s="8">
        <v>2020</v>
      </c>
      <c r="C41" s="8">
        <v>65339</v>
      </c>
      <c r="D41" s="8"/>
      <c r="E41" s="16" t="s">
        <v>15</v>
      </c>
      <c r="F41" s="16">
        <v>2020</v>
      </c>
      <c r="G41" s="8">
        <v>98667</v>
      </c>
      <c r="M41" s="16"/>
      <c r="N41" s="16"/>
    </row>
    <row r="42" spans="1:14" ht="19" x14ac:dyDescent="0.2">
      <c r="A42" s="7" t="s">
        <v>15</v>
      </c>
      <c r="B42" s="8">
        <v>2019</v>
      </c>
      <c r="C42" s="8">
        <v>90488</v>
      </c>
      <c r="D42" s="8"/>
      <c r="E42" s="16" t="s">
        <v>15</v>
      </c>
      <c r="F42" s="16">
        <v>2019</v>
      </c>
      <c r="G42" s="8">
        <v>91807</v>
      </c>
      <c r="M42" s="16"/>
      <c r="N42" s="16"/>
    </row>
    <row r="43" spans="1:14" ht="19" x14ac:dyDescent="0.2">
      <c r="A43" s="7" t="s">
        <v>15</v>
      </c>
      <c r="B43" s="8">
        <v>2018</v>
      </c>
      <c r="C43" s="8">
        <v>107147</v>
      </c>
      <c r="D43" s="8"/>
      <c r="E43" s="16" t="s">
        <v>15</v>
      </c>
      <c r="F43" s="16">
        <v>2018</v>
      </c>
      <c r="G43" s="8">
        <v>93735</v>
      </c>
      <c r="M43" s="16"/>
      <c r="N43" s="16"/>
    </row>
    <row r="44" spans="1:14" ht="19" x14ac:dyDescent="0.2">
      <c r="A44" s="7" t="s">
        <v>15</v>
      </c>
      <c r="B44" s="8">
        <v>2017</v>
      </c>
      <c r="C44" s="8">
        <v>134047</v>
      </c>
      <c r="D44" s="8"/>
      <c r="E44" s="16" t="s">
        <v>15</v>
      </c>
      <c r="F44" s="16">
        <v>2017</v>
      </c>
      <c r="G44" s="8">
        <v>97207</v>
      </c>
      <c r="M44" s="16"/>
      <c r="N44" s="16"/>
    </row>
    <row r="45" spans="1:14" ht="19" x14ac:dyDescent="0.2">
      <c r="A45" s="7" t="s">
        <v>15</v>
      </c>
      <c r="B45" s="8">
        <v>2016</v>
      </c>
      <c r="C45" s="8">
        <v>128249</v>
      </c>
      <c r="D45" s="8"/>
      <c r="E45" s="16" t="s">
        <v>15</v>
      </c>
      <c r="F45" s="16">
        <v>2016</v>
      </c>
      <c r="G45" s="8">
        <v>75427</v>
      </c>
      <c r="M45" s="16"/>
      <c r="N45" s="16"/>
    </row>
    <row r="46" spans="1:14" ht="19" x14ac:dyDescent="0.2">
      <c r="A46" s="7" t="s">
        <v>15</v>
      </c>
      <c r="B46" s="8">
        <v>2015</v>
      </c>
      <c r="C46" s="8">
        <v>119355</v>
      </c>
      <c r="D46" s="8"/>
      <c r="E46" s="16" t="s">
        <v>15</v>
      </c>
      <c r="F46" s="16">
        <v>2015</v>
      </c>
      <c r="G46" s="8">
        <v>53329</v>
      </c>
      <c r="M46" s="16"/>
      <c r="N46" s="16"/>
    </row>
    <row r="47" spans="1:14" ht="16" customHeight="1" x14ac:dyDescent="0.2">
      <c r="A47" s="7" t="s">
        <v>15</v>
      </c>
      <c r="B47" s="8">
        <v>2014</v>
      </c>
      <c r="C47" s="8">
        <v>111547</v>
      </c>
      <c r="D47" s="8"/>
      <c r="E47" s="16" t="s">
        <v>15</v>
      </c>
      <c r="F47" s="16">
        <v>2014</v>
      </c>
      <c r="G47" s="8">
        <v>28987</v>
      </c>
      <c r="K47" s="16"/>
      <c r="L47" s="16"/>
    </row>
    <row r="48" spans="1:14" ht="16" customHeight="1" x14ac:dyDescent="0.2">
      <c r="A48" s="7" t="s">
        <v>15</v>
      </c>
      <c r="B48" s="8">
        <v>2013</v>
      </c>
      <c r="C48" s="8">
        <v>123549</v>
      </c>
      <c r="E48" s="16" t="s">
        <v>15</v>
      </c>
      <c r="F48" s="16">
        <v>2013</v>
      </c>
      <c r="G48" s="8">
        <v>16960</v>
      </c>
      <c r="K48" s="16"/>
      <c r="L48" s="16"/>
    </row>
    <row r="49" spans="1:12" ht="18" customHeight="1" x14ac:dyDescent="0.2">
      <c r="A49" s="7" t="s">
        <v>15</v>
      </c>
      <c r="B49" s="8">
        <v>2012</v>
      </c>
      <c r="C49" s="8">
        <v>118210</v>
      </c>
      <c r="E49" s="16" t="s">
        <v>15</v>
      </c>
      <c r="F49" s="16">
        <v>2012</v>
      </c>
      <c r="G49" s="8">
        <v>0</v>
      </c>
      <c r="K49" s="16"/>
      <c r="L49" s="16"/>
    </row>
    <row r="50" spans="1:12" ht="18" customHeight="1" x14ac:dyDescent="0.2">
      <c r="A50" s="7" t="s">
        <v>15</v>
      </c>
      <c r="B50" s="8">
        <v>2011</v>
      </c>
      <c r="C50" s="8">
        <v>76615</v>
      </c>
      <c r="E50" s="16" t="s">
        <v>15</v>
      </c>
      <c r="F50" s="16">
        <v>2011</v>
      </c>
      <c r="G50" s="8">
        <v>0</v>
      </c>
      <c r="K50" s="16"/>
      <c r="L50" s="16"/>
    </row>
    <row r="51" spans="1:12" ht="19" x14ac:dyDescent="0.2">
      <c r="A51" s="7" t="s">
        <v>17</v>
      </c>
      <c r="B51" s="8">
        <v>2025</v>
      </c>
      <c r="C51" s="8">
        <v>238000</v>
      </c>
      <c r="E51" s="19" t="s">
        <v>17</v>
      </c>
      <c r="F51" s="16">
        <v>2025</v>
      </c>
      <c r="G51" s="8">
        <v>40152</v>
      </c>
      <c r="K51" s="16"/>
      <c r="L51" s="16"/>
    </row>
    <row r="52" spans="1:12" ht="19" x14ac:dyDescent="0.2">
      <c r="A52" s="7" t="s">
        <v>17</v>
      </c>
      <c r="B52" s="8">
        <v>2024</v>
      </c>
      <c r="C52" s="8">
        <v>206000</v>
      </c>
      <c r="E52" s="19" t="s">
        <v>17</v>
      </c>
      <c r="F52" s="16">
        <v>2024</v>
      </c>
      <c r="G52" s="8">
        <v>42688</v>
      </c>
      <c r="K52" s="16"/>
      <c r="L52" s="16"/>
    </row>
    <row r="53" spans="1:12" ht="19" x14ac:dyDescent="0.2">
      <c r="A53" s="7" t="s">
        <v>17</v>
      </c>
      <c r="B53" s="8">
        <v>2023</v>
      </c>
      <c r="C53" s="8">
        <v>167000</v>
      </c>
      <c r="E53" s="19" t="s">
        <v>17</v>
      </c>
      <c r="F53" s="16">
        <v>2023</v>
      </c>
      <c r="G53" s="8">
        <v>41990</v>
      </c>
      <c r="K53" s="16"/>
      <c r="L53" s="16"/>
    </row>
    <row r="54" spans="1:12" ht="19" x14ac:dyDescent="0.2">
      <c r="A54" s="7" t="s">
        <v>17</v>
      </c>
      <c r="B54" s="8">
        <v>2022</v>
      </c>
      <c r="C54" s="8">
        <v>166500</v>
      </c>
      <c r="E54" s="19" t="s">
        <v>17</v>
      </c>
      <c r="F54" s="16">
        <v>2022</v>
      </c>
      <c r="G54" s="8">
        <v>47032</v>
      </c>
      <c r="K54" s="16"/>
      <c r="L54" s="16"/>
    </row>
    <row r="55" spans="1:12" ht="19" x14ac:dyDescent="0.2">
      <c r="A55" s="7" t="s">
        <v>17</v>
      </c>
      <c r="B55" s="8">
        <v>2021</v>
      </c>
      <c r="C55" s="8">
        <v>141900</v>
      </c>
      <c r="E55" s="19" t="s">
        <v>17</v>
      </c>
      <c r="F55" s="16">
        <v>2021</v>
      </c>
      <c r="G55" s="8">
        <v>50074</v>
      </c>
      <c r="K55" s="16"/>
      <c r="L55" s="16"/>
    </row>
    <row r="56" spans="1:12" ht="19" x14ac:dyDescent="0.2">
      <c r="A56" s="7" t="s">
        <v>17</v>
      </c>
      <c r="B56" s="8">
        <v>2020</v>
      </c>
      <c r="C56" s="8">
        <v>118300</v>
      </c>
      <c r="E56" s="19" t="s">
        <v>17</v>
      </c>
      <c r="F56" s="16">
        <v>2020</v>
      </c>
      <c r="G56" s="8">
        <v>59578</v>
      </c>
      <c r="K56" s="16"/>
      <c r="L56" s="16"/>
    </row>
    <row r="57" spans="1:12" ht="19" x14ac:dyDescent="0.2">
      <c r="A57" s="7" t="s">
        <v>17</v>
      </c>
      <c r="B57" s="8">
        <v>2019</v>
      </c>
      <c r="C57" s="8">
        <v>102300</v>
      </c>
      <c r="E57" s="19" t="s">
        <v>17</v>
      </c>
      <c r="F57" s="16">
        <v>2019</v>
      </c>
      <c r="G57" s="8">
        <v>66662</v>
      </c>
      <c r="K57" s="16"/>
      <c r="L57" s="16"/>
    </row>
    <row r="58" spans="1:12" ht="19" x14ac:dyDescent="0.2">
      <c r="A58" s="7" t="s">
        <v>17</v>
      </c>
      <c r="B58" s="8">
        <v>2018</v>
      </c>
      <c r="C58" s="8">
        <v>82700</v>
      </c>
      <c r="E58" s="19" t="s">
        <v>17</v>
      </c>
      <c r="F58" s="16">
        <v>2018</v>
      </c>
      <c r="G58" s="8">
        <v>72242</v>
      </c>
      <c r="K58" s="16"/>
      <c r="L58" s="16"/>
    </row>
    <row r="59" spans="1:12" ht="19" x14ac:dyDescent="0.2">
      <c r="A59" s="7" t="s">
        <v>17</v>
      </c>
      <c r="B59" s="8">
        <v>2017</v>
      </c>
      <c r="C59" s="8">
        <v>72400</v>
      </c>
      <c r="E59" s="19" t="s">
        <v>17</v>
      </c>
      <c r="F59" s="16">
        <v>2017</v>
      </c>
      <c r="G59" s="8">
        <v>76073</v>
      </c>
      <c r="K59" s="16"/>
      <c r="L59" s="16"/>
    </row>
    <row r="60" spans="1:12" ht="19" x14ac:dyDescent="0.2">
      <c r="A60" s="7" t="s">
        <v>17</v>
      </c>
      <c r="B60" s="8">
        <v>2016</v>
      </c>
      <c r="C60" s="8">
        <v>71900</v>
      </c>
      <c r="E60" s="19" t="s">
        <v>17</v>
      </c>
      <c r="F60" s="16">
        <v>2016</v>
      </c>
      <c r="G60" s="8">
        <v>40557</v>
      </c>
      <c r="K60" s="16"/>
      <c r="L60" s="16"/>
    </row>
    <row r="61" spans="1:12" ht="19" x14ac:dyDescent="0.2">
      <c r="A61" s="7" t="s">
        <v>17</v>
      </c>
      <c r="B61" s="8">
        <v>2015</v>
      </c>
      <c r="C61" s="8">
        <v>80000</v>
      </c>
      <c r="E61" s="19" t="s">
        <v>17</v>
      </c>
      <c r="F61" s="16">
        <v>2015</v>
      </c>
      <c r="G61" s="8">
        <v>27808</v>
      </c>
      <c r="K61" s="16"/>
      <c r="L61" s="16"/>
    </row>
    <row r="62" spans="1:12" ht="19" x14ac:dyDescent="0.2">
      <c r="A62" s="7" t="s">
        <v>17</v>
      </c>
      <c r="B62" s="8">
        <v>2014</v>
      </c>
      <c r="C62" s="8">
        <v>89700</v>
      </c>
      <c r="E62" s="19" t="s">
        <v>17</v>
      </c>
      <c r="F62" s="16">
        <v>2014</v>
      </c>
      <c r="G62" s="8">
        <v>20645</v>
      </c>
      <c r="K62" s="16"/>
      <c r="L62" s="16"/>
    </row>
    <row r="63" spans="1:12" ht="19" x14ac:dyDescent="0.2">
      <c r="A63" s="7" t="s">
        <v>17</v>
      </c>
      <c r="B63" s="8">
        <v>2013</v>
      </c>
      <c r="C63" s="8">
        <v>78900</v>
      </c>
      <c r="E63" s="19" t="s">
        <v>17</v>
      </c>
      <c r="F63" s="16">
        <v>2013</v>
      </c>
      <c r="G63" s="8">
        <v>12601</v>
      </c>
      <c r="K63" s="16"/>
      <c r="L63" s="16"/>
    </row>
    <row r="64" spans="1:12" ht="19" x14ac:dyDescent="0.2">
      <c r="A64" s="7" t="s">
        <v>17</v>
      </c>
      <c r="B64" s="8">
        <v>2012</v>
      </c>
      <c r="C64" s="8">
        <v>66500</v>
      </c>
      <c r="E64" s="19" t="s">
        <v>17</v>
      </c>
      <c r="F64" s="16">
        <v>2012</v>
      </c>
      <c r="G64" s="8">
        <v>10713</v>
      </c>
      <c r="K64" s="16"/>
      <c r="L64" s="16"/>
    </row>
    <row r="65" spans="1:12" ht="19" x14ac:dyDescent="0.2">
      <c r="A65" s="7" t="s">
        <v>17</v>
      </c>
      <c r="B65" s="8">
        <v>2011</v>
      </c>
      <c r="C65" s="8">
        <v>57000</v>
      </c>
      <c r="E65" s="19" t="s">
        <v>17</v>
      </c>
      <c r="F65" s="16">
        <v>2011</v>
      </c>
      <c r="G65" s="8">
        <v>6146</v>
      </c>
      <c r="K65" s="16"/>
      <c r="L65" s="16"/>
    </row>
    <row r="66" spans="1:12" x14ac:dyDescent="0.2">
      <c r="A66" s="20"/>
      <c r="B66" s="18"/>
      <c r="E66" s="19"/>
      <c r="F66" s="18"/>
      <c r="K66" s="16"/>
      <c r="L66" s="16"/>
    </row>
    <row r="67" spans="1:12" x14ac:dyDescent="0.2">
      <c r="A67" s="20"/>
      <c r="B67" s="18"/>
      <c r="E67" s="19"/>
      <c r="F67" s="18"/>
      <c r="K67" s="16"/>
      <c r="L67" s="16"/>
    </row>
    <row r="68" spans="1:12" x14ac:dyDescent="0.2">
      <c r="A68" s="20"/>
      <c r="B68" s="18"/>
      <c r="E68" s="19"/>
      <c r="F68" s="18"/>
      <c r="K68" s="16"/>
      <c r="L68" s="16"/>
    </row>
    <row r="69" spans="1:12" x14ac:dyDescent="0.2">
      <c r="A69" s="20"/>
      <c r="B69" s="18"/>
      <c r="E69" s="19"/>
      <c r="F69" s="18"/>
      <c r="K69" s="16"/>
      <c r="L69" s="16"/>
    </row>
    <row r="70" spans="1:12" x14ac:dyDescent="0.2">
      <c r="A70" s="20"/>
      <c r="B70" s="18"/>
      <c r="E70" s="19"/>
      <c r="F70" s="18"/>
      <c r="K70" s="16"/>
      <c r="L70" s="16"/>
    </row>
    <row r="71" spans="1:12" x14ac:dyDescent="0.2">
      <c r="A71" s="20"/>
      <c r="B71" s="18"/>
      <c r="E71" s="19"/>
      <c r="F71" s="18"/>
      <c r="K71" s="16"/>
      <c r="L71" s="16"/>
    </row>
    <row r="72" spans="1:12" x14ac:dyDescent="0.2">
      <c r="A72" s="20"/>
      <c r="B72" s="18"/>
      <c r="E72" s="19"/>
      <c r="F72" s="18"/>
      <c r="K72" s="16"/>
      <c r="L72" s="16"/>
    </row>
    <row r="73" spans="1:12" x14ac:dyDescent="0.2">
      <c r="A73" s="20"/>
      <c r="B73" s="18"/>
      <c r="E73" s="19"/>
      <c r="F73" s="18"/>
      <c r="K73" s="16"/>
      <c r="L73" s="16"/>
    </row>
    <row r="74" spans="1:12" x14ac:dyDescent="0.2">
      <c r="A74" s="20"/>
      <c r="B74" s="18"/>
      <c r="E74" s="19"/>
      <c r="F74" s="18"/>
      <c r="K74" s="16"/>
      <c r="L74" s="16"/>
    </row>
    <row r="75" spans="1:12" x14ac:dyDescent="0.2">
      <c r="A75" s="20"/>
      <c r="B75" s="18"/>
      <c r="E75" s="19"/>
      <c r="F75" s="18"/>
      <c r="K75" s="16"/>
      <c r="L75" s="16"/>
    </row>
    <row r="76" spans="1:12" x14ac:dyDescent="0.2">
      <c r="A76" s="20"/>
      <c r="B76" s="18"/>
      <c r="E76" s="19"/>
      <c r="F76" s="18"/>
      <c r="K76" s="16"/>
      <c r="L76" s="16"/>
    </row>
    <row r="77" spans="1:12" x14ac:dyDescent="0.2">
      <c r="A77" s="20"/>
      <c r="B77" s="18"/>
      <c r="E77" s="19"/>
      <c r="F77" s="18"/>
      <c r="K77" s="16"/>
      <c r="L77" s="16"/>
    </row>
    <row r="78" spans="1:12" x14ac:dyDescent="0.2">
      <c r="A78" s="20"/>
      <c r="B78" s="18"/>
      <c r="E78" s="19"/>
      <c r="F78" s="18"/>
      <c r="K78" s="16"/>
      <c r="L78" s="16"/>
    </row>
    <row r="79" spans="1:12" x14ac:dyDescent="0.2">
      <c r="A79" s="20"/>
      <c r="B79" s="18"/>
      <c r="E79" s="19"/>
      <c r="F79" s="18"/>
      <c r="K79" s="16"/>
      <c r="L79" s="16"/>
    </row>
    <row r="80" spans="1:12" x14ac:dyDescent="0.2">
      <c r="A80" s="20"/>
      <c r="B80" s="18"/>
      <c r="E80" s="19"/>
      <c r="F80" s="18"/>
      <c r="K80" s="16"/>
      <c r="L80" s="16"/>
    </row>
    <row r="81" spans="1:14" x14ac:dyDescent="0.2">
      <c r="A81" s="20"/>
      <c r="B81" s="18"/>
      <c r="E81" s="19"/>
      <c r="F81" s="18"/>
      <c r="K81" s="16"/>
      <c r="L81" s="16"/>
    </row>
    <row r="82" spans="1:14" x14ac:dyDescent="0.2">
      <c r="A82" s="20"/>
      <c r="B82" s="18"/>
      <c r="E82" s="19"/>
      <c r="F82" s="18"/>
      <c r="K82" s="16"/>
      <c r="L82" s="16"/>
    </row>
    <row r="83" spans="1:14" x14ac:dyDescent="0.2">
      <c r="A83" s="20"/>
      <c r="B83" s="18"/>
      <c r="E83" s="19"/>
      <c r="F83" s="18"/>
      <c r="K83" s="16"/>
      <c r="L83" s="16"/>
    </row>
    <row r="84" spans="1:14" x14ac:dyDescent="0.2">
      <c r="A84" s="20"/>
      <c r="B84" s="18"/>
      <c r="E84" s="19"/>
      <c r="F84" s="18"/>
      <c r="K84" s="16"/>
      <c r="L84" s="16"/>
    </row>
    <row r="85" spans="1:14" x14ac:dyDescent="0.2">
      <c r="A85" s="20"/>
      <c r="B85" s="18"/>
      <c r="E85" s="19"/>
      <c r="F85" s="18"/>
      <c r="K85" s="16"/>
      <c r="L85" s="16"/>
    </row>
    <row r="86" spans="1:14" x14ac:dyDescent="0.2">
      <c r="A86" s="20"/>
      <c r="B86" s="18"/>
      <c r="E86" s="19"/>
      <c r="F86" s="18"/>
      <c r="K86" s="16"/>
      <c r="L86" s="16"/>
    </row>
    <row r="87" spans="1:14" x14ac:dyDescent="0.2">
      <c r="A87" s="20"/>
      <c r="B87" s="18"/>
      <c r="E87" s="19"/>
      <c r="F87" s="18"/>
      <c r="K87" s="16"/>
      <c r="L87" s="16"/>
    </row>
    <row r="88" spans="1:14" x14ac:dyDescent="0.2">
      <c r="A88" s="20"/>
      <c r="B88" s="18"/>
      <c r="E88" s="19"/>
      <c r="F88" s="18"/>
      <c r="K88" s="16"/>
      <c r="L88" s="16"/>
    </row>
    <row r="89" spans="1:14" x14ac:dyDescent="0.2">
      <c r="A89" s="20"/>
      <c r="B89" s="18"/>
      <c r="E89" s="19"/>
      <c r="F89" s="18"/>
      <c r="K89" s="16"/>
      <c r="L89" s="16"/>
    </row>
    <row r="90" spans="1:14" x14ac:dyDescent="0.2">
      <c r="A90" s="20"/>
      <c r="B90" s="18"/>
      <c r="E90" s="19"/>
      <c r="F90" s="18"/>
      <c r="K90" s="16"/>
      <c r="L90" s="16"/>
    </row>
    <row r="91" spans="1:14" x14ac:dyDescent="0.2">
      <c r="A91" s="20"/>
      <c r="B91" s="18"/>
      <c r="E91" s="19"/>
      <c r="F91" s="18"/>
      <c r="K91" s="16"/>
      <c r="L91" s="16"/>
    </row>
    <row r="92" spans="1:14" x14ac:dyDescent="0.2">
      <c r="A92" s="20"/>
      <c r="B92" s="18"/>
      <c r="E92" s="19"/>
      <c r="F92" s="18"/>
      <c r="K92" s="16"/>
      <c r="L92" s="16"/>
    </row>
    <row r="93" spans="1:14" x14ac:dyDescent="0.2">
      <c r="A93" s="20"/>
      <c r="B93" s="18"/>
      <c r="E93" s="19"/>
      <c r="F93" s="18"/>
    </row>
    <row r="94" spans="1:14" x14ac:dyDescent="0.2">
      <c r="A94" s="20"/>
      <c r="B94" s="18"/>
      <c r="E94" s="19"/>
      <c r="F94" s="18"/>
      <c r="K94" s="15"/>
      <c r="L94" s="15"/>
      <c r="M94" s="15"/>
      <c r="N94" s="15"/>
    </row>
    <row r="95" spans="1:14" x14ac:dyDescent="0.2">
      <c r="A95" s="20"/>
      <c r="B95" s="18"/>
      <c r="E95" s="19"/>
      <c r="F95" s="18"/>
      <c r="K95" s="21"/>
      <c r="L95" s="21"/>
      <c r="M95" s="14"/>
      <c r="N95" s="14"/>
    </row>
    <row r="96" spans="1:14" x14ac:dyDescent="0.2">
      <c r="A96" s="20"/>
      <c r="B96" s="18"/>
      <c r="E96" s="19"/>
      <c r="F96" s="18"/>
      <c r="K96" s="16"/>
      <c r="L96" s="16"/>
      <c r="M96" s="16"/>
      <c r="N96" s="16"/>
    </row>
    <row r="97" spans="1:14" x14ac:dyDescent="0.2">
      <c r="A97" s="20"/>
      <c r="B97" s="18"/>
      <c r="E97" s="19"/>
      <c r="F97" s="18"/>
    </row>
    <row r="98" spans="1:14" x14ac:dyDescent="0.2">
      <c r="A98" s="20"/>
      <c r="B98" s="18"/>
      <c r="E98" s="19"/>
      <c r="F98" s="18"/>
      <c r="K98" s="15"/>
      <c r="L98" s="15"/>
      <c r="M98" s="15"/>
      <c r="N98" s="15"/>
    </row>
    <row r="99" spans="1:14" x14ac:dyDescent="0.2">
      <c r="A99" s="20"/>
      <c r="B99" s="18"/>
      <c r="E99" s="19"/>
      <c r="F99" s="18"/>
      <c r="K99" s="22"/>
      <c r="L99" s="14"/>
      <c r="M99" s="14"/>
      <c r="N99" s="14"/>
    </row>
    <row r="100" spans="1:14" x14ac:dyDescent="0.2">
      <c r="A100" s="20"/>
      <c r="B100" s="18"/>
      <c r="E100" s="19"/>
      <c r="F100" s="18"/>
      <c r="K100" s="22"/>
      <c r="L100" s="14"/>
      <c r="M100" s="14"/>
      <c r="N100" s="14"/>
    </row>
    <row r="101" spans="1:14" x14ac:dyDescent="0.2">
      <c r="A101" s="20"/>
      <c r="B101" s="18"/>
      <c r="E101" s="19"/>
      <c r="F101" s="16"/>
      <c r="K101" s="22"/>
      <c r="L101" s="14"/>
      <c r="M101" s="14"/>
      <c r="N101" s="14"/>
    </row>
    <row r="102" spans="1:14" x14ac:dyDescent="0.2">
      <c r="A102" s="20"/>
      <c r="B102" s="18"/>
      <c r="E102" s="19"/>
      <c r="F102" s="16"/>
      <c r="K102" s="22"/>
      <c r="L102" s="14"/>
      <c r="M102" s="14"/>
      <c r="N102" s="14"/>
    </row>
    <row r="103" spans="1:14" x14ac:dyDescent="0.2">
      <c r="A103" s="20"/>
      <c r="B103" s="18"/>
      <c r="E103" s="19"/>
      <c r="F103" s="16"/>
    </row>
    <row r="104" spans="1:14" x14ac:dyDescent="0.2">
      <c r="A104" s="20"/>
      <c r="B104" s="18"/>
      <c r="E104" s="19"/>
      <c r="F104" s="16"/>
    </row>
    <row r="105" spans="1:14" x14ac:dyDescent="0.2">
      <c r="A105" s="20"/>
      <c r="B105" s="18"/>
      <c r="E105" s="19"/>
      <c r="F105" s="16"/>
    </row>
    <row r="106" spans="1:14" x14ac:dyDescent="0.2">
      <c r="A106" s="20"/>
      <c r="B106" s="18"/>
      <c r="E106" s="19"/>
      <c r="F106" s="16"/>
    </row>
    <row r="107" spans="1:14" x14ac:dyDescent="0.2">
      <c r="A107" s="20"/>
      <c r="B107" s="18"/>
      <c r="E107" s="19"/>
      <c r="F107" s="16"/>
    </row>
    <row r="108" spans="1:14" x14ac:dyDescent="0.2">
      <c r="A108" s="20"/>
      <c r="B108" s="18"/>
      <c r="E108" s="19"/>
      <c r="F108" s="16"/>
    </row>
    <row r="109" spans="1:14" x14ac:dyDescent="0.2">
      <c r="A109" s="20"/>
      <c r="B109" s="18"/>
      <c r="E109" s="19"/>
      <c r="F109" s="16"/>
    </row>
    <row r="110" spans="1:14" x14ac:dyDescent="0.2">
      <c r="A110" s="20"/>
      <c r="B110" s="18"/>
    </row>
    <row r="111" spans="1:14" x14ac:dyDescent="0.2">
      <c r="A111" s="20"/>
      <c r="B111" s="18"/>
      <c r="D111" s="15"/>
      <c r="E111" s="15"/>
      <c r="F111" s="15"/>
      <c r="G111" s="15"/>
    </row>
    <row r="112" spans="1:14" x14ac:dyDescent="0.2">
      <c r="D112" s="14"/>
      <c r="E112" s="23"/>
      <c r="F112" s="23"/>
      <c r="G112" s="14"/>
      <c r="H112" s="15"/>
    </row>
    <row r="113" spans="1:8" ht="144" customHeight="1" x14ac:dyDescent="0.2">
      <c r="A113" s="17"/>
      <c r="B113" s="15"/>
      <c r="C113" s="15"/>
      <c r="D113" s="16"/>
      <c r="E113" s="24"/>
      <c r="F113" s="24"/>
      <c r="G113" s="24"/>
      <c r="H113" s="14"/>
    </row>
    <row r="114" spans="1:8" ht="144" customHeight="1" x14ac:dyDescent="0.2">
      <c r="A114" s="25"/>
      <c r="B114" s="23"/>
      <c r="C114" s="14"/>
      <c r="H114" s="24"/>
    </row>
    <row r="115" spans="1:8" x14ac:dyDescent="0.2">
      <c r="A115" s="26"/>
      <c r="B115" s="16"/>
      <c r="C115" s="16"/>
      <c r="D115" s="15"/>
      <c r="E115" s="15"/>
      <c r="F115" s="15"/>
      <c r="G115" s="15"/>
    </row>
    <row r="116" spans="1:8" x14ac:dyDescent="0.2">
      <c r="D116" s="14"/>
      <c r="E116" s="25"/>
      <c r="F116" s="14"/>
      <c r="G116" s="14"/>
      <c r="H116" s="15"/>
    </row>
    <row r="117" spans="1:8" x14ac:dyDescent="0.2">
      <c r="A117" s="17"/>
      <c r="B117" s="15"/>
      <c r="C117" s="15"/>
      <c r="D117" s="14"/>
      <c r="E117" s="25"/>
      <c r="F117" s="14"/>
      <c r="G117" s="14"/>
      <c r="H117" s="14"/>
    </row>
    <row r="118" spans="1:8" x14ac:dyDescent="0.2">
      <c r="A118" s="25"/>
      <c r="B118" s="14"/>
      <c r="C118" s="14"/>
      <c r="D118" s="14"/>
      <c r="E118" s="25"/>
      <c r="F118" s="14"/>
      <c r="G118" s="14"/>
      <c r="H118" s="14"/>
    </row>
    <row r="119" spans="1:8" x14ac:dyDescent="0.2">
      <c r="A119" s="25"/>
      <c r="B119" s="14"/>
      <c r="C119" s="14"/>
      <c r="D119" s="14"/>
      <c r="E119" s="25"/>
      <c r="F119" s="14"/>
      <c r="G119" s="14"/>
      <c r="H119" s="14"/>
    </row>
    <row r="120" spans="1:8" x14ac:dyDescent="0.2">
      <c r="A120" s="25"/>
      <c r="B120" s="14"/>
      <c r="C120" s="14"/>
      <c r="D120" s="14"/>
      <c r="H120" s="14"/>
    </row>
    <row r="121" spans="1:8" x14ac:dyDescent="0.2">
      <c r="A121" s="25"/>
      <c r="B121" s="14"/>
      <c r="C121" s="14"/>
    </row>
    <row r="122" spans="1:8" x14ac:dyDescent="0.2">
      <c r="A122" s="22"/>
      <c r="B122" s="14"/>
      <c r="C122" s="14"/>
    </row>
  </sheetData>
  <mergeCells count="6">
    <mergeCell ref="I1:K1"/>
    <mergeCell ref="E1:G1"/>
    <mergeCell ref="M1:O1"/>
    <mergeCell ref="A34:B34"/>
    <mergeCell ref="E34:F34"/>
    <mergeCell ref="A1:B1"/>
  </mergeCells>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8635-8D04-DC43-AD25-EAA44F49288C}">
  <dimension ref="A1:M31"/>
  <sheetViews>
    <sheetView showGridLines="0" workbookViewId="0">
      <selection activeCell="H39" sqref="H38:H39"/>
    </sheetView>
  </sheetViews>
  <sheetFormatPr baseColWidth="10" defaultRowHeight="16" x14ac:dyDescent="0.2"/>
  <cols>
    <col min="1" max="1" width="16.83203125" customWidth="1"/>
    <col min="2" max="10" width="17.33203125" customWidth="1"/>
    <col min="11" max="11" width="17.33203125" style="2" customWidth="1"/>
    <col min="12" max="13" width="17.33203125" customWidth="1"/>
  </cols>
  <sheetData>
    <row r="1" spans="1:13" x14ac:dyDescent="0.2">
      <c r="A1" t="s">
        <v>2</v>
      </c>
      <c r="B1" t="s">
        <v>3</v>
      </c>
      <c r="C1" t="s">
        <v>0</v>
      </c>
      <c r="D1" t="s">
        <v>4</v>
      </c>
      <c r="E1" s="1" t="s">
        <v>23</v>
      </c>
      <c r="F1" t="s">
        <v>5</v>
      </c>
      <c r="G1" t="s">
        <v>6</v>
      </c>
      <c r="H1" t="s">
        <v>7</v>
      </c>
      <c r="I1" t="s">
        <v>8</v>
      </c>
      <c r="J1" t="s">
        <v>24</v>
      </c>
      <c r="K1" s="2" t="s">
        <v>25</v>
      </c>
      <c r="L1" t="s">
        <v>11</v>
      </c>
      <c r="M1" t="s">
        <v>12</v>
      </c>
    </row>
    <row r="2" spans="1:13" x14ac:dyDescent="0.2">
      <c r="A2" t="s">
        <v>15</v>
      </c>
      <c r="B2">
        <v>2011</v>
      </c>
      <c r="C2" cm="1">
        <f t="array" ref="C2">_xlfn.XLOOKUP(1, (tblRevenueRaw[Year]=tblClean[[#This Row],[Year ]])*(tblRevenueRaw[Company]=tblClean[[#This Row],[Company ]]),tblRevenueRaw[Revenue])</f>
        <v>108249</v>
      </c>
      <c r="D2" cm="1">
        <f t="array" ref="D2">_xlfn.XLOOKUP(1,(tblNetIncomeRaw[Year]=tblClean[[#This Row],[Year ]])*(tblNetIncomeRaw[Company]=tblClean[[#This Row],[Company ]]),tblNetIncomeRaw[Net Income])</f>
        <v>25922</v>
      </c>
      <c r="E2" s="2">
        <f>IFERROR(tblClean[[#This Row],[Net Income]]/tblClean[[#This Row],[Revenue]], )</f>
        <v>0.2394664153941376</v>
      </c>
      <c r="F2" cm="1">
        <f t="array" ref="F2">_xlfn.XLOOKUP(1, (tblEquityRaw[Year]=tblClean[[#This Row],[Year ]])*(tblEquityRaw[Company]=tblClean[[#This Row],[Company ]]),tblEquityRaw[Equity])</f>
        <v>76615</v>
      </c>
      <c r="G2" cm="1">
        <f t="array" ref="G2">_xlfn.XLOOKUP(1, (tblAssetsRaw[Year]=tblClean[[#This Row],[Year ]])*(tblAssetsRaw[Company]=tblClean[[#This Row],[Company ]]),tblAssetsRaw[Assets])</f>
        <v>116371</v>
      </c>
      <c r="H2" cm="1">
        <f t="array" ref="H2">_xlfn.XLOOKUP(1,(tblDebtRaw[Year]=tblClean[[#This Row],[Year ]])*(tblDebtRaw[Company]=tblClean[[#This Row],[Company ]]),tblDebtRaw[Debt])</f>
        <v>0</v>
      </c>
      <c r="I2" cm="1">
        <f t="array" ref="I2">_xlfn.XLOOKUP(1,(tblFCFRaw[Year]=tblClean[[#This Row],[Year ]])*(tblFCFRaw[Company]=tblClean[[#This Row],[Company ]]),tblFCFRaw[FCF])</f>
        <v>33269</v>
      </c>
      <c r="J2" s="2">
        <f>tblClean[[#This Row],[FCF]]/tblClean[[#This Row],[Revenue]]</f>
        <v>0.30733771212667094</v>
      </c>
      <c r="K2" s="2" cm="1">
        <f t="array" ref="K2">IFERROR(tblClean[[#This Row],[Net Income]]/tblClean[[#This Row],[Equity]],_xleta.N/a)</f>
        <v>0.3383410559289956</v>
      </c>
      <c r="L2" s="2">
        <f>IFERROR(tblClean[[#This Row],[Debt]]/tblClean[[#This Row],[Assets]], )</f>
        <v>0</v>
      </c>
      <c r="M2" s="2">
        <f>tblClean[[#This Row],[Revenue]]/tblClean[[#This Row],[Assets]]</f>
        <v>0.93020597915288172</v>
      </c>
    </row>
    <row r="3" spans="1:13" x14ac:dyDescent="0.2">
      <c r="A3" t="s">
        <v>15</v>
      </c>
      <c r="B3">
        <v>2012</v>
      </c>
      <c r="C3" cm="1">
        <f t="array" ref="C3">_xlfn.XLOOKUP(1, (tblRevenueRaw[Year]=tblClean[[#This Row],[Year ]])*(tblRevenueRaw[Company]=tblClean[[#This Row],[Company ]]),tblRevenueRaw[Revenue])</f>
        <v>156508</v>
      </c>
      <c r="D3" cm="1">
        <f t="array" ref="D3">_xlfn.XLOOKUP(1,(tblNetIncomeRaw[Year]=tblClean[[#This Row],[Year ]])*(tblNetIncomeRaw[Company]=tblClean[[#This Row],[Company ]]),tblNetIncomeRaw[Net Income])</f>
        <v>41733</v>
      </c>
      <c r="E3" s="2">
        <f>IFERROR(tblClean[[#This Row],[Net Income]]/tblClean[[#This Row],[Revenue]], )</f>
        <v>0.26665090602397323</v>
      </c>
      <c r="F3" cm="1">
        <f t="array" ref="F3">_xlfn.XLOOKUP(1, (tblEquityRaw[Year]=tblClean[[#This Row],[Year ]])*(tblEquityRaw[Company]=tblClean[[#This Row],[Company ]]),tblEquityRaw[Equity])</f>
        <v>118210</v>
      </c>
      <c r="G3" cm="1">
        <f t="array" ref="G3">_xlfn.XLOOKUP(1, (tblAssetsRaw[Year]=tblClean[[#This Row],[Year ]])*(tblAssetsRaw[Company]=tblClean[[#This Row],[Company ]]),tblAssetsRaw[Assets])</f>
        <v>176064</v>
      </c>
      <c r="H3" cm="1">
        <f t="array" ref="H3">_xlfn.XLOOKUP(1,(tblDebtRaw[Year]=tblClean[[#This Row],[Year ]])*(tblDebtRaw[Company]=tblClean[[#This Row],[Company ]]),tblDebtRaw[Debt])</f>
        <v>0</v>
      </c>
      <c r="I3" cm="1">
        <f t="array" ref="I3">_xlfn.XLOOKUP(1,(tblFCFRaw[Year]=tblClean[[#This Row],[Year ]])*(tblFCFRaw[Company]=tblClean[[#This Row],[Company ]]),tblFCFRaw[FCF])</f>
        <v>42561</v>
      </c>
      <c r="J3" s="2">
        <f>tblClean[[#This Row],[FCF]]/tblClean[[#This Row],[Revenue]]</f>
        <v>0.27194137040918037</v>
      </c>
      <c r="K3" s="2" cm="1">
        <f t="array" ref="K3">IFERROR(tblClean[[#This Row],[Net Income]]/tblClean[[#This Row],[Equity]],_xleta.N/a)</f>
        <v>0.35304119786820065</v>
      </c>
      <c r="L3" s="2">
        <f>IFERROR(tblClean[[#This Row],[Debt]]/tblClean[[#This Row],[Assets]], )</f>
        <v>0</v>
      </c>
      <c r="M3" s="2">
        <f>tblClean[[#This Row],[Revenue]]/tblClean[[#This Row],[Assets]]</f>
        <v>0.88892675390766995</v>
      </c>
    </row>
    <row r="4" spans="1:13" x14ac:dyDescent="0.2">
      <c r="A4" t="s">
        <v>15</v>
      </c>
      <c r="B4">
        <v>2013</v>
      </c>
      <c r="C4" cm="1">
        <f t="array" ref="C4">_xlfn.XLOOKUP(1, (tblRevenueRaw[Year]=tblClean[[#This Row],[Year ]])*(tblRevenueRaw[Company]=tblClean[[#This Row],[Company ]]),tblRevenueRaw[Revenue])</f>
        <v>170910</v>
      </c>
      <c r="D4" cm="1">
        <f t="array" ref="D4">_xlfn.XLOOKUP(1,(tblNetIncomeRaw[Year]=tblClean[[#This Row],[Year ]])*(tblNetIncomeRaw[Company]=tblClean[[#This Row],[Company ]]),tblNetIncomeRaw[Net Income])</f>
        <v>37037</v>
      </c>
      <c r="E4" s="2">
        <f>IFERROR(tblClean[[#This Row],[Net Income]]/tblClean[[#This Row],[Revenue]], )</f>
        <v>0.21670469837926393</v>
      </c>
      <c r="F4" cm="1">
        <f t="array" ref="F4">_xlfn.XLOOKUP(1, (tblEquityRaw[Year]=tblClean[[#This Row],[Year ]])*(tblEquityRaw[Company]=tblClean[[#This Row],[Company ]]),tblEquityRaw[Equity])</f>
        <v>123549</v>
      </c>
      <c r="G4" cm="1">
        <f t="array" ref="G4">_xlfn.XLOOKUP(1, (tblAssetsRaw[Year]=tblClean[[#This Row],[Year ]])*(tblAssetsRaw[Company]=tblClean[[#This Row],[Company ]]),tblAssetsRaw[Assets])</f>
        <v>207000</v>
      </c>
      <c r="H4" cm="1">
        <f t="array" ref="H4">_xlfn.XLOOKUP(1,(tblDebtRaw[Year]=tblClean[[#This Row],[Year ]])*(tblDebtRaw[Company]=tblClean[[#This Row],[Company ]]),tblDebtRaw[Debt])</f>
        <v>16960</v>
      </c>
      <c r="I4" cm="1">
        <f t="array" ref="I4">_xlfn.XLOOKUP(1,(tblFCFRaw[Year]=tblClean[[#This Row],[Year ]])*(tblFCFRaw[Company]=tblClean[[#This Row],[Company ]]),tblFCFRaw[FCF])</f>
        <v>45501</v>
      </c>
      <c r="J4" s="2">
        <f>tblClean[[#This Row],[FCF]]/tblClean[[#This Row],[Revenue]]</f>
        <v>0.2662278392136212</v>
      </c>
      <c r="K4" s="2" cm="1">
        <f t="array" ref="K4">IFERROR(tblClean[[#This Row],[Net Income]]/tblClean[[#This Row],[Equity]],_xleta.N/a)</f>
        <v>0.29977579745687943</v>
      </c>
      <c r="L4" s="2">
        <f>IFERROR(tblClean[[#This Row],[Debt]]/tblClean[[#This Row],[Assets]], )</f>
        <v>8.1932367149758448E-2</v>
      </c>
      <c r="M4" s="2">
        <f>tblClean[[#This Row],[Revenue]]/tblClean[[#This Row],[Assets]]</f>
        <v>0.82565217391304346</v>
      </c>
    </row>
    <row r="5" spans="1:13" x14ac:dyDescent="0.2">
      <c r="A5" t="s">
        <v>15</v>
      </c>
      <c r="B5">
        <v>2014</v>
      </c>
      <c r="C5" cm="1">
        <f t="array" ref="C5">_xlfn.XLOOKUP(1, (tblRevenueRaw[Year]=tblClean[[#This Row],[Year ]])*(tblRevenueRaw[Company]=tblClean[[#This Row],[Company ]]),tblRevenueRaw[Revenue])</f>
        <v>182795</v>
      </c>
      <c r="D5" cm="1">
        <f t="array" ref="D5">_xlfn.XLOOKUP(1,(tblNetIncomeRaw[Year]=tblClean[[#This Row],[Year ]])*(tblNetIncomeRaw[Company]=tblClean[[#This Row],[Company ]]),tblNetIncomeRaw[Net Income])</f>
        <v>39510</v>
      </c>
      <c r="E5" s="2">
        <f>IFERROR(tblClean[[#This Row],[Net Income]]/tblClean[[#This Row],[Revenue]], )</f>
        <v>0.21614376760852322</v>
      </c>
      <c r="F5" cm="1">
        <f t="array" ref="F5">_xlfn.XLOOKUP(1, (tblEquityRaw[Year]=tblClean[[#This Row],[Year ]])*(tblEquityRaw[Company]=tblClean[[#This Row],[Company ]]),tblEquityRaw[Equity])</f>
        <v>111547</v>
      </c>
      <c r="G5" cm="1">
        <f t="array" ref="G5">_xlfn.XLOOKUP(1, (tblAssetsRaw[Year]=tblClean[[#This Row],[Year ]])*(tblAssetsRaw[Company]=tblClean[[#This Row],[Company ]]),tblAssetsRaw[Assets])</f>
        <v>231839</v>
      </c>
      <c r="H5" cm="1">
        <f t="array" ref="H5">_xlfn.XLOOKUP(1,(tblDebtRaw[Year]=tblClean[[#This Row],[Year ]])*(tblDebtRaw[Company]=tblClean[[#This Row],[Company ]]),tblDebtRaw[Debt])</f>
        <v>28987</v>
      </c>
      <c r="I5" cm="1">
        <f t="array" ref="I5">_xlfn.XLOOKUP(1,(tblFCFRaw[Year]=tblClean[[#This Row],[Year ]])*(tblFCFRaw[Company]=tblClean[[#This Row],[Company ]]),tblFCFRaw[FCF])</f>
        <v>50142</v>
      </c>
      <c r="J5" s="2">
        <f>tblClean[[#This Row],[FCF]]/tblClean[[#This Row],[Revenue]]</f>
        <v>0.27430728411608635</v>
      </c>
      <c r="K5" s="2" cm="1">
        <f t="array" ref="K5">IFERROR(tblClean[[#This Row],[Net Income]]/tblClean[[#This Row],[Equity]],_xleta.N/a)</f>
        <v>0.35420047155010892</v>
      </c>
      <c r="L5" s="2">
        <f>IFERROR(tblClean[[#This Row],[Debt]]/tblClean[[#This Row],[Assets]], )</f>
        <v>0.12503073253421557</v>
      </c>
      <c r="M5" s="2">
        <f>tblClean[[#This Row],[Revenue]]/tblClean[[#This Row],[Assets]]</f>
        <v>0.78845664448173081</v>
      </c>
    </row>
    <row r="6" spans="1:13" x14ac:dyDescent="0.2">
      <c r="A6" t="s">
        <v>15</v>
      </c>
      <c r="B6">
        <v>2015</v>
      </c>
      <c r="C6" cm="1">
        <f t="array" ref="C6">_xlfn.XLOOKUP(1, (tblRevenueRaw[Year]=tblClean[[#This Row],[Year ]])*(tblRevenueRaw[Company]=tblClean[[#This Row],[Company ]]),tblRevenueRaw[Revenue])</f>
        <v>233715</v>
      </c>
      <c r="D6" cm="1">
        <f t="array" ref="D6">_xlfn.XLOOKUP(1,(tblNetIncomeRaw[Year]=tblClean[[#This Row],[Year ]])*(tblNetIncomeRaw[Company]=tblClean[[#This Row],[Company ]]),tblNetIncomeRaw[Net Income])</f>
        <v>53394</v>
      </c>
      <c r="E6" s="2">
        <f>IFERROR(tblClean[[#This Row],[Net Income]]/tblClean[[#This Row],[Revenue]], )</f>
        <v>0.22845773698735639</v>
      </c>
      <c r="F6" cm="1">
        <f t="array" ref="F6">_xlfn.XLOOKUP(1, (tblEquityRaw[Year]=tblClean[[#This Row],[Year ]])*(tblEquityRaw[Company]=tblClean[[#This Row],[Company ]]),tblEquityRaw[Equity])</f>
        <v>119355</v>
      </c>
      <c r="G6" cm="1">
        <f t="array" ref="G6">_xlfn.XLOOKUP(1, (tblAssetsRaw[Year]=tblClean[[#This Row],[Year ]])*(tblAssetsRaw[Company]=tblClean[[#This Row],[Company ]]),tblAssetsRaw[Assets])</f>
        <v>290345</v>
      </c>
      <c r="H6" cm="1">
        <f t="array" ref="H6">_xlfn.XLOOKUP(1,(tblDebtRaw[Year]=tblClean[[#This Row],[Year ]])*(tblDebtRaw[Company]=tblClean[[#This Row],[Company ]]),tblDebtRaw[Debt])</f>
        <v>53329</v>
      </c>
      <c r="I6" cm="1">
        <f t="array" ref="I6">_xlfn.XLOOKUP(1,(tblFCFRaw[Year]=tblClean[[#This Row],[Year ]])*(tblFCFRaw[Company]=tblClean[[#This Row],[Company ]]),tblFCFRaw[FCF])</f>
        <v>70019</v>
      </c>
      <c r="J6" s="2">
        <f>tblClean[[#This Row],[FCF]]/tblClean[[#This Row],[Revenue]]</f>
        <v>0.29959138266692337</v>
      </c>
      <c r="K6" s="2" cm="1">
        <f t="array" ref="K6">IFERROR(tblClean[[#This Row],[Net Income]]/tblClean[[#This Row],[Equity]],_xleta.N/a)</f>
        <v>0.44735453060198566</v>
      </c>
      <c r="L6" s="2">
        <f>IFERROR(tblClean[[#This Row],[Debt]]/tblClean[[#This Row],[Assets]], )</f>
        <v>0.18367459401746197</v>
      </c>
      <c r="M6" s="2">
        <f>tblClean[[#This Row],[Revenue]]/tblClean[[#This Row],[Assets]]</f>
        <v>0.80495617282887599</v>
      </c>
    </row>
    <row r="7" spans="1:13" x14ac:dyDescent="0.2">
      <c r="A7" t="s">
        <v>15</v>
      </c>
      <c r="B7">
        <v>2016</v>
      </c>
      <c r="C7" cm="1">
        <f t="array" ref="C7">_xlfn.XLOOKUP(1, (tblRevenueRaw[Year]=tblClean[[#This Row],[Year ]])*(tblRevenueRaw[Company]=tblClean[[#This Row],[Company ]]),tblRevenueRaw[Revenue])</f>
        <v>215639</v>
      </c>
      <c r="D7" cm="1">
        <f t="array" ref="D7">_xlfn.XLOOKUP(1,(tblNetIncomeRaw[Year]=tblClean[[#This Row],[Year ]])*(tblNetIncomeRaw[Company]=tblClean[[#This Row],[Company ]]),tblNetIncomeRaw[Net Income])</f>
        <v>45687</v>
      </c>
      <c r="E7" s="2">
        <f>IFERROR(tblClean[[#This Row],[Net Income]]/tblClean[[#This Row],[Revenue]], )</f>
        <v>0.211867983064288</v>
      </c>
      <c r="F7" cm="1">
        <f t="array" ref="F7">_xlfn.XLOOKUP(1, (tblEquityRaw[Year]=tblClean[[#This Row],[Year ]])*(tblEquityRaw[Company]=tblClean[[#This Row],[Company ]]),tblEquityRaw[Equity])</f>
        <v>128249</v>
      </c>
      <c r="G7" cm="1">
        <f t="array" ref="G7">_xlfn.XLOOKUP(1, (tblAssetsRaw[Year]=tblClean[[#This Row],[Year ]])*(tblAssetsRaw[Company]=tblClean[[#This Row],[Company ]]),tblAssetsRaw[Assets])</f>
        <v>321686</v>
      </c>
      <c r="H7" cm="1">
        <f t="array" ref="H7">_xlfn.XLOOKUP(1,(tblDebtRaw[Year]=tblClean[[#This Row],[Year ]])*(tblDebtRaw[Company]=tblClean[[#This Row],[Company ]]),tblDebtRaw[Debt])</f>
        <v>75427</v>
      </c>
      <c r="I7" cm="1">
        <f t="array" ref="I7">_xlfn.XLOOKUP(1,(tblFCFRaw[Year]=tblClean[[#This Row],[Year ]])*(tblFCFRaw[Company]=tblClean[[#This Row],[Company ]]),tblFCFRaw[FCF])</f>
        <v>53497</v>
      </c>
      <c r="J7" s="2">
        <f>tblClean[[#This Row],[FCF]]/tblClean[[#This Row],[Revenue]]</f>
        <v>0.24808592137785837</v>
      </c>
      <c r="K7" s="2" cm="1">
        <f t="array" ref="K7">IFERROR(tblClean[[#This Row],[Net Income]]/tblClean[[#This Row],[Equity]],_xleta.N/a)</f>
        <v>0.35623669580269629</v>
      </c>
      <c r="L7" s="2">
        <f>IFERROR(tblClean[[#This Row],[Debt]]/tblClean[[#This Row],[Assets]], )</f>
        <v>0.23447399016432172</v>
      </c>
      <c r="M7" s="2">
        <f>tblClean[[#This Row],[Revenue]]/tblClean[[#This Row],[Assets]]</f>
        <v>0.67034002101428103</v>
      </c>
    </row>
    <row r="8" spans="1:13" x14ac:dyDescent="0.2">
      <c r="A8" t="s">
        <v>15</v>
      </c>
      <c r="B8">
        <v>2017</v>
      </c>
      <c r="C8" cm="1">
        <f t="array" ref="C8">_xlfn.XLOOKUP(1, (tblRevenueRaw[Year]=tblClean[[#This Row],[Year ]])*(tblRevenueRaw[Company]=tblClean[[#This Row],[Company ]]),tblRevenueRaw[Revenue])</f>
        <v>229234</v>
      </c>
      <c r="D8" cm="1">
        <f t="array" ref="D8">_xlfn.XLOOKUP(1,(tblNetIncomeRaw[Year]=tblClean[[#This Row],[Year ]])*(tblNetIncomeRaw[Company]=tblClean[[#This Row],[Company ]]),tblNetIncomeRaw[Net Income])</f>
        <v>48351</v>
      </c>
      <c r="E8" s="2">
        <f>IFERROR(tblClean[[#This Row],[Net Income]]/tblClean[[#This Row],[Revenue]], )</f>
        <v>0.21092420845075338</v>
      </c>
      <c r="F8" cm="1">
        <f t="array" ref="F8">_xlfn.XLOOKUP(1, (tblEquityRaw[Year]=tblClean[[#This Row],[Year ]])*(tblEquityRaw[Company]=tblClean[[#This Row],[Company ]]),tblEquityRaw[Equity])</f>
        <v>134047</v>
      </c>
      <c r="G8" cm="1">
        <f t="array" ref="G8">_xlfn.XLOOKUP(1, (tblAssetsRaw[Year]=tblClean[[#This Row],[Year ]])*(tblAssetsRaw[Company]=tblClean[[#This Row],[Company ]]),tblAssetsRaw[Assets])</f>
        <v>375319</v>
      </c>
      <c r="H8" cm="1">
        <f t="array" ref="H8">_xlfn.XLOOKUP(1,(tblDebtRaw[Year]=tblClean[[#This Row],[Year ]])*(tblDebtRaw[Company]=tblClean[[#This Row],[Company ]]),tblDebtRaw[Debt])</f>
        <v>97207</v>
      </c>
      <c r="I8" cm="1">
        <f t="array" ref="I8">_xlfn.XLOOKUP(1,(tblFCFRaw[Year]=tblClean[[#This Row],[Year ]])*(tblFCFRaw[Company]=tblClean[[#This Row],[Company ]]),tblFCFRaw[FCF])</f>
        <v>51774</v>
      </c>
      <c r="J8" s="2">
        <f>tblClean[[#This Row],[FCF]]/tblClean[[#This Row],[Revenue]]</f>
        <v>0.22585654833052687</v>
      </c>
      <c r="K8" s="2" cm="1">
        <f t="array" ref="K8">IFERROR(tblClean[[#This Row],[Net Income]]/tblClean[[#This Row],[Equity]],_xleta.N/a)</f>
        <v>0.36070184338329092</v>
      </c>
      <c r="L8" s="2">
        <f>IFERROR(tblClean[[#This Row],[Debt]]/tblClean[[#This Row],[Assets]], )</f>
        <v>0.25899834540750666</v>
      </c>
      <c r="M8" s="2">
        <f>tblClean[[#This Row],[Revenue]]/tblClean[[#This Row],[Assets]]</f>
        <v>0.61077110404749024</v>
      </c>
    </row>
    <row r="9" spans="1:13" x14ac:dyDescent="0.2">
      <c r="A9" t="s">
        <v>15</v>
      </c>
      <c r="B9">
        <v>2018</v>
      </c>
      <c r="C9" cm="1">
        <f t="array" ref="C9">_xlfn.XLOOKUP(1, (tblRevenueRaw[Year]=tblClean[[#This Row],[Year ]])*(tblRevenueRaw[Company]=tblClean[[#This Row],[Company ]]),tblRevenueRaw[Revenue])</f>
        <v>265595</v>
      </c>
      <c r="D9" cm="1">
        <f t="array" ref="D9">_xlfn.XLOOKUP(1,(tblNetIncomeRaw[Year]=tblClean[[#This Row],[Year ]])*(tblNetIncomeRaw[Company]=tblClean[[#This Row],[Company ]]),tblNetIncomeRaw[Net Income])</f>
        <v>59531</v>
      </c>
      <c r="E9" s="2">
        <f>IFERROR(tblClean[[#This Row],[Net Income]]/tblClean[[#This Row],[Revenue]], )</f>
        <v>0.22414202074587247</v>
      </c>
      <c r="F9" cm="1">
        <f t="array" ref="F9">_xlfn.XLOOKUP(1, (tblEquityRaw[Year]=tblClean[[#This Row],[Year ]])*(tblEquityRaw[Company]=tblClean[[#This Row],[Company ]]),tblEquityRaw[Equity])</f>
        <v>107147</v>
      </c>
      <c r="G9" cm="1">
        <f t="array" ref="G9">_xlfn.XLOOKUP(1, (tblAssetsRaw[Year]=tblClean[[#This Row],[Year ]])*(tblAssetsRaw[Company]=tblClean[[#This Row],[Company ]]),tblAssetsRaw[Assets])</f>
        <v>365725</v>
      </c>
      <c r="H9" cm="1">
        <f t="array" ref="H9">_xlfn.XLOOKUP(1,(tblDebtRaw[Year]=tblClean[[#This Row],[Year ]])*(tblDebtRaw[Company]=tblClean[[#This Row],[Company ]]),tblDebtRaw[Debt])</f>
        <v>93735</v>
      </c>
      <c r="I9" cm="1">
        <f t="array" ref="I9">_xlfn.XLOOKUP(1,(tblFCFRaw[Year]=tblClean[[#This Row],[Year ]])*(tblFCFRaw[Company]=tblClean[[#This Row],[Company ]]),tblFCFRaw[FCF])</f>
        <v>64121</v>
      </c>
      <c r="J9" s="2">
        <f>tblClean[[#This Row],[FCF]]/tblClean[[#This Row],[Revenue]]</f>
        <v>0.24142397258984544</v>
      </c>
      <c r="K9" s="2" cm="1">
        <f t="array" ref="K9">IFERROR(tblClean[[#This Row],[Net Income]]/tblClean[[#This Row],[Equity]],_xleta.N/a)</f>
        <v>0.5556011834209077</v>
      </c>
      <c r="L9" s="2">
        <f>IFERROR(tblClean[[#This Row],[Debt]]/tblClean[[#This Row],[Assets]], )</f>
        <v>0.25629913186137127</v>
      </c>
      <c r="M9" s="2">
        <f>tblClean[[#This Row],[Revenue]]/tblClean[[#This Row],[Assets]]</f>
        <v>0.7262150522933899</v>
      </c>
    </row>
    <row r="10" spans="1:13" x14ac:dyDescent="0.2">
      <c r="A10" t="s">
        <v>15</v>
      </c>
      <c r="B10">
        <v>2019</v>
      </c>
      <c r="C10" cm="1">
        <f t="array" ref="C10">_xlfn.XLOOKUP(1, (tblRevenueRaw[Year]=tblClean[[#This Row],[Year ]])*(tblRevenueRaw[Company]=tblClean[[#This Row],[Company ]]),tblRevenueRaw[Revenue])</f>
        <v>260174</v>
      </c>
      <c r="D10" cm="1">
        <f t="array" ref="D10">_xlfn.XLOOKUP(1,(tblNetIncomeRaw[Year]=tblClean[[#This Row],[Year ]])*(tblNetIncomeRaw[Company]=tblClean[[#This Row],[Company ]]),tblNetIncomeRaw[Net Income])</f>
        <v>55256</v>
      </c>
      <c r="E10" s="2">
        <f>IFERROR(tblClean[[#This Row],[Net Income]]/tblClean[[#This Row],[Revenue]], )</f>
        <v>0.21238094505984456</v>
      </c>
      <c r="F10" cm="1">
        <f t="array" ref="F10">_xlfn.XLOOKUP(1, (tblEquityRaw[Year]=tblClean[[#This Row],[Year ]])*(tblEquityRaw[Company]=tblClean[[#This Row],[Company ]]),tblEquityRaw[Equity])</f>
        <v>90488</v>
      </c>
      <c r="G10" cm="1">
        <f t="array" ref="G10">_xlfn.XLOOKUP(1, (tblAssetsRaw[Year]=tblClean[[#This Row],[Year ]])*(tblAssetsRaw[Company]=tblClean[[#This Row],[Company ]]),tblAssetsRaw[Assets])</f>
        <v>338516</v>
      </c>
      <c r="H10" cm="1">
        <f t="array" ref="H10">_xlfn.XLOOKUP(1,(tblDebtRaw[Year]=tblClean[[#This Row],[Year ]])*(tblDebtRaw[Company]=tblClean[[#This Row],[Company ]]),tblDebtRaw[Debt])</f>
        <v>91807</v>
      </c>
      <c r="I10" cm="1">
        <f t="array" ref="I10">_xlfn.XLOOKUP(1,(tblFCFRaw[Year]=tblClean[[#This Row],[Year ]])*(tblFCFRaw[Company]=tblClean[[#This Row],[Company ]]),tblFCFRaw[FCF])</f>
        <v>58896</v>
      </c>
      <c r="J10" s="2">
        <f>tblClean[[#This Row],[FCF]]/tblClean[[#This Row],[Revenue]]</f>
        <v>0.22637158209505945</v>
      </c>
      <c r="K10" s="2" cm="1">
        <f t="array" ref="K10">IFERROR(tblClean[[#This Row],[Net Income]]/tblClean[[#This Row],[Equity]],_xleta.N/a)</f>
        <v>0.61064450534877557</v>
      </c>
      <c r="L10" s="2">
        <f>IFERROR(tblClean[[#This Row],[Debt]]/tblClean[[#This Row],[Assets]], )</f>
        <v>0.27120431530562811</v>
      </c>
      <c r="M10" s="2">
        <f>tblClean[[#This Row],[Revenue]]/tblClean[[#This Row],[Assets]]</f>
        <v>0.76857223883066084</v>
      </c>
    </row>
    <row r="11" spans="1:13" x14ac:dyDescent="0.2">
      <c r="A11" t="s">
        <v>15</v>
      </c>
      <c r="B11">
        <v>2020</v>
      </c>
      <c r="C11" cm="1">
        <f t="array" ref="C11">_xlfn.XLOOKUP(1, (tblRevenueRaw[Year]=tblClean[[#This Row],[Year ]])*(tblRevenueRaw[Company]=tblClean[[#This Row],[Company ]]),tblRevenueRaw[Revenue])</f>
        <v>274515</v>
      </c>
      <c r="D11" cm="1">
        <f t="array" ref="D11">_xlfn.XLOOKUP(1,(tblNetIncomeRaw[Year]=tblClean[[#This Row],[Year ]])*(tblNetIncomeRaw[Company]=tblClean[[#This Row],[Company ]]),tblNetIncomeRaw[Net Income])</f>
        <v>57411</v>
      </c>
      <c r="E11" s="2">
        <f>IFERROR(tblClean[[#This Row],[Net Income]]/tblClean[[#This Row],[Revenue]], )</f>
        <v>0.20913611278072236</v>
      </c>
      <c r="F11" cm="1">
        <f t="array" ref="F11">_xlfn.XLOOKUP(1, (tblEquityRaw[Year]=tblClean[[#This Row],[Year ]])*(tblEquityRaw[Company]=tblClean[[#This Row],[Company ]]),tblEquityRaw[Equity])</f>
        <v>65339</v>
      </c>
      <c r="G11" cm="1">
        <f t="array" ref="G11">_xlfn.XLOOKUP(1, (tblAssetsRaw[Year]=tblClean[[#This Row],[Year ]])*(tblAssetsRaw[Company]=tblClean[[#This Row],[Company ]]),tblAssetsRaw[Assets])</f>
        <v>323888</v>
      </c>
      <c r="H11" cm="1">
        <f t="array" ref="H11">_xlfn.XLOOKUP(1,(tblDebtRaw[Year]=tblClean[[#This Row],[Year ]])*(tblDebtRaw[Company]=tblClean[[#This Row],[Company ]]),tblDebtRaw[Debt])</f>
        <v>98667</v>
      </c>
      <c r="I11" cm="1">
        <f t="array" ref="I11">_xlfn.XLOOKUP(1,(tblFCFRaw[Year]=tblClean[[#This Row],[Year ]])*(tblFCFRaw[Company]=tblClean[[#This Row],[Company ]]),tblFCFRaw[FCF])</f>
        <v>73365</v>
      </c>
      <c r="J11" s="2">
        <f>tblClean[[#This Row],[FCF]]/tblClean[[#This Row],[Revenue]]</f>
        <v>0.26725315556526968</v>
      </c>
      <c r="K11" s="2" cm="1">
        <f t="array" ref="K11">IFERROR(tblClean[[#This Row],[Net Income]]/tblClean[[#This Row],[Equity]],_xleta.N/a)</f>
        <v>0.87866358530127486</v>
      </c>
      <c r="L11" s="2">
        <f>IFERROR(tblClean[[#This Row],[Debt]]/tblClean[[#This Row],[Assets]], )</f>
        <v>0.30463308304105124</v>
      </c>
      <c r="M11" s="2">
        <f>tblClean[[#This Row],[Revenue]]/tblClean[[#This Row],[Assets]]</f>
        <v>0.84756150274168851</v>
      </c>
    </row>
    <row r="12" spans="1:13" x14ac:dyDescent="0.2">
      <c r="A12" t="s">
        <v>15</v>
      </c>
      <c r="B12">
        <v>2021</v>
      </c>
      <c r="C12" cm="1">
        <f t="array" ref="C12">_xlfn.XLOOKUP(1, (tblRevenueRaw[Year]=tblClean[[#This Row],[Year ]])*(tblRevenueRaw[Company]=tblClean[[#This Row],[Company ]]),tblRevenueRaw[Revenue])</f>
        <v>365817</v>
      </c>
      <c r="D12" cm="1">
        <f t="array" ref="D12">_xlfn.XLOOKUP(1,(tblNetIncomeRaw[Year]=tblClean[[#This Row],[Year ]])*(tblNetIncomeRaw[Company]=tblClean[[#This Row],[Company ]]),tblNetIncomeRaw[Net Income])</f>
        <v>94680</v>
      </c>
      <c r="E12" s="2">
        <f>IFERROR(tblClean[[#This Row],[Net Income]]/tblClean[[#This Row],[Revenue]], )</f>
        <v>0.25881793355694238</v>
      </c>
      <c r="F12" cm="1">
        <f t="array" ref="F12">_xlfn.XLOOKUP(1, (tblEquityRaw[Year]=tblClean[[#This Row],[Year ]])*(tblEquityRaw[Company]=tblClean[[#This Row],[Company ]]),tblEquityRaw[Equity])</f>
        <v>63090</v>
      </c>
      <c r="G12" cm="1">
        <f t="array" ref="G12">_xlfn.XLOOKUP(1, (tblAssetsRaw[Year]=tblClean[[#This Row],[Year ]])*(tblAssetsRaw[Company]=tblClean[[#This Row],[Company ]]),tblAssetsRaw[Assets])</f>
        <v>351002</v>
      </c>
      <c r="H12" cm="1">
        <f t="array" ref="H12">_xlfn.XLOOKUP(1,(tblDebtRaw[Year]=tblClean[[#This Row],[Year ]])*(tblDebtRaw[Company]=tblClean[[#This Row],[Company ]]),tblDebtRaw[Debt])</f>
        <v>109106</v>
      </c>
      <c r="I12" cm="1">
        <f t="array" ref="I12">_xlfn.XLOOKUP(1,(tblFCFRaw[Year]=tblClean[[#This Row],[Year ]])*(tblFCFRaw[Company]=tblClean[[#This Row],[Company ]]),tblFCFRaw[FCF])</f>
        <v>92953</v>
      </c>
      <c r="J12" s="2">
        <f>tblClean[[#This Row],[FCF]]/tblClean[[#This Row],[Revenue]]</f>
        <v>0.25409699385211731</v>
      </c>
      <c r="K12" s="2" cm="1">
        <f t="array" ref="K12">IFERROR(tblClean[[#This Row],[Net Income]]/tblClean[[#This Row],[Equity]],_xleta.N/a)</f>
        <v>1.5007132667617689</v>
      </c>
      <c r="L12" s="2">
        <f>IFERROR(tblClean[[#This Row],[Debt]]/tblClean[[#This Row],[Assets]], )</f>
        <v>0.31084153366647482</v>
      </c>
      <c r="M12" s="2">
        <f>tblClean[[#This Row],[Revenue]]/tblClean[[#This Row],[Assets]]</f>
        <v>1.0422077367080529</v>
      </c>
    </row>
    <row r="13" spans="1:13" x14ac:dyDescent="0.2">
      <c r="A13" t="s">
        <v>15</v>
      </c>
      <c r="B13">
        <v>2022</v>
      </c>
      <c r="C13" cm="1">
        <f t="array" ref="C13">_xlfn.XLOOKUP(1, (tblRevenueRaw[Year]=tblClean[[#This Row],[Year ]])*(tblRevenueRaw[Company]=tblClean[[#This Row],[Company ]]),tblRevenueRaw[Revenue])</f>
        <v>394328</v>
      </c>
      <c r="D13" cm="1">
        <f t="array" ref="D13">_xlfn.XLOOKUP(1,(tblNetIncomeRaw[Year]=tblClean[[#This Row],[Year ]])*(tblNetIncomeRaw[Company]=tblClean[[#This Row],[Company ]]),tblNetIncomeRaw[Net Income])</f>
        <v>99803</v>
      </c>
      <c r="E13" s="2">
        <f>IFERROR(tblClean[[#This Row],[Net Income]]/tblClean[[#This Row],[Revenue]], )</f>
        <v>0.25309640705199732</v>
      </c>
      <c r="F13" cm="1">
        <f t="array" ref="F13">_xlfn.XLOOKUP(1, (tblEquityRaw[Year]=tblClean[[#This Row],[Year ]])*(tblEquityRaw[Company]=tblClean[[#This Row],[Company ]]),tblEquityRaw[Equity])</f>
        <v>50672</v>
      </c>
      <c r="G13" cm="1">
        <f t="array" ref="G13">_xlfn.XLOOKUP(1, (tblAssetsRaw[Year]=tblClean[[#This Row],[Year ]])*(tblAssetsRaw[Company]=tblClean[[#This Row],[Company ]]),tblAssetsRaw[Assets])</f>
        <v>352755</v>
      </c>
      <c r="H13" cm="1">
        <f t="array" ref="H13">_xlfn.XLOOKUP(1,(tblDebtRaw[Year]=tblClean[[#This Row],[Year ]])*(tblDebtRaw[Company]=tblClean[[#This Row],[Company ]]),tblDebtRaw[Debt])</f>
        <v>98959</v>
      </c>
      <c r="I13" cm="1">
        <f t="array" ref="I13">_xlfn.XLOOKUP(1,(tblFCFRaw[Year]=tblClean[[#This Row],[Year ]])*(tblFCFRaw[Company]=tblClean[[#This Row],[Company ]]),tblFCFRaw[FCF])</f>
        <v>111443</v>
      </c>
      <c r="J13" s="2">
        <f>tblClean[[#This Row],[FCF]]/tblClean[[#This Row],[Revenue]]</f>
        <v>0.28261498042238947</v>
      </c>
      <c r="K13" s="2" cm="1">
        <f t="array" ref="K13">IFERROR(tblClean[[#This Row],[Net Income]]/tblClean[[#This Row],[Equity]],_xleta.N/a)</f>
        <v>1.9695887275023682</v>
      </c>
      <c r="L13" s="2">
        <f>IFERROR(tblClean[[#This Row],[Debt]]/tblClean[[#This Row],[Assets]], )</f>
        <v>0.28053181386514719</v>
      </c>
      <c r="M13" s="2">
        <f>tblClean[[#This Row],[Revenue]]/tblClean[[#This Row],[Assets]]</f>
        <v>1.1178523337727317</v>
      </c>
    </row>
    <row r="14" spans="1:13" x14ac:dyDescent="0.2">
      <c r="A14" t="s">
        <v>15</v>
      </c>
      <c r="B14">
        <v>2023</v>
      </c>
      <c r="C14" cm="1">
        <f t="array" ref="C14">_xlfn.XLOOKUP(1, (tblRevenueRaw[Year]=tblClean[[#This Row],[Year ]])*(tblRevenueRaw[Company]=tblClean[[#This Row],[Company ]]),tblRevenueRaw[Revenue])</f>
        <v>383285</v>
      </c>
      <c r="D14" cm="1">
        <f t="array" ref="D14">_xlfn.XLOOKUP(1,(tblNetIncomeRaw[Year]=tblClean[[#This Row],[Year ]])*(tblNetIncomeRaw[Company]=tblClean[[#This Row],[Company ]]),tblNetIncomeRaw[Net Income])</f>
        <v>96995</v>
      </c>
      <c r="E14" s="2">
        <f>IFERROR(tblClean[[#This Row],[Net Income]]/tblClean[[#This Row],[Revenue]], )</f>
        <v>0.25306234264320282</v>
      </c>
      <c r="F14" cm="1">
        <f t="array" ref="F14">_xlfn.XLOOKUP(1, (tblEquityRaw[Year]=tblClean[[#This Row],[Year ]])*(tblEquityRaw[Company]=tblClean[[#This Row],[Company ]]),tblEquityRaw[Equity])</f>
        <v>62146</v>
      </c>
      <c r="G14" cm="1">
        <f t="array" ref="G14">_xlfn.XLOOKUP(1, (tblAssetsRaw[Year]=tblClean[[#This Row],[Year ]])*(tblAssetsRaw[Company]=tblClean[[#This Row],[Company ]]),tblAssetsRaw[Assets])</f>
        <v>352583</v>
      </c>
      <c r="H14" cm="1">
        <f t="array" ref="H14">_xlfn.XLOOKUP(1,(tblDebtRaw[Year]=tblClean[[#This Row],[Year ]])*(tblDebtRaw[Company]=tblClean[[#This Row],[Company ]]),tblDebtRaw[Debt])</f>
        <v>95281</v>
      </c>
      <c r="I14" cm="1">
        <f t="array" ref="I14">_xlfn.XLOOKUP(1,(tblFCFRaw[Year]=tblClean[[#This Row],[Year ]])*(tblFCFRaw[Company]=tblClean[[#This Row],[Company ]]),tblFCFRaw[FCF])</f>
        <v>99584</v>
      </c>
      <c r="J14" s="2">
        <f>tblClean[[#This Row],[FCF]]/tblClean[[#This Row],[Revenue]]</f>
        <v>0.25981710737440805</v>
      </c>
      <c r="K14" s="2" cm="1">
        <f t="array" ref="K14">IFERROR(tblClean[[#This Row],[Net Income]]/tblClean[[#This Row],[Equity]],_xleta.N/a)</f>
        <v>1.5607601454639075</v>
      </c>
      <c r="L14" s="2">
        <f>IFERROR(tblClean[[#This Row],[Debt]]/tblClean[[#This Row],[Assets]], )</f>
        <v>0.27023707892893306</v>
      </c>
      <c r="M14" s="2">
        <f>tblClean[[#This Row],[Revenue]]/tblClean[[#This Row],[Assets]]</f>
        <v>1.0870773690166571</v>
      </c>
    </row>
    <row r="15" spans="1:13" x14ac:dyDescent="0.2">
      <c r="A15" t="s">
        <v>15</v>
      </c>
      <c r="B15">
        <v>2024</v>
      </c>
      <c r="C15" cm="1">
        <f t="array" ref="C15">_xlfn.XLOOKUP(1, (tblRevenueRaw[Year]=tblClean[[#This Row],[Year ]])*(tblRevenueRaw[Company]=tblClean[[#This Row],[Company ]]),tblRevenueRaw[Revenue])</f>
        <v>391035</v>
      </c>
      <c r="D15" cm="1">
        <f t="array" ref="D15">_xlfn.XLOOKUP(1,(tblNetIncomeRaw[Year]=tblClean[[#This Row],[Year ]])*(tblNetIncomeRaw[Company]=tblClean[[#This Row],[Company ]]),tblNetIncomeRaw[Net Income])</f>
        <v>93736</v>
      </c>
      <c r="E15" s="2">
        <f>IFERROR(tblClean[[#This Row],[Net Income]]/tblClean[[#This Row],[Revenue]], )</f>
        <v>0.23971255769943867</v>
      </c>
      <c r="F15" cm="1">
        <f t="array" ref="F15">_xlfn.XLOOKUP(1, (tblEquityRaw[Year]=tblClean[[#This Row],[Year ]])*(tblEquityRaw[Company]=tblClean[[#This Row],[Company ]]),tblEquityRaw[Equity])</f>
        <v>56950</v>
      </c>
      <c r="G15" cm="1">
        <f t="array" ref="G15">_xlfn.XLOOKUP(1, (tblAssetsRaw[Year]=tblClean[[#This Row],[Year ]])*(tblAssetsRaw[Company]=tblClean[[#This Row],[Company ]]),tblAssetsRaw[Assets])</f>
        <v>364980</v>
      </c>
      <c r="H15" cm="1">
        <f t="array" ref="H15">_xlfn.XLOOKUP(1,(tblDebtRaw[Year]=tblClean[[#This Row],[Year ]])*(tblDebtRaw[Company]=tblClean[[#This Row],[Company ]]),tblDebtRaw[Debt])</f>
        <v>85750</v>
      </c>
      <c r="I15" cm="1">
        <f t="array" ref="I15">_xlfn.XLOOKUP(1,(tblFCFRaw[Year]=tblClean[[#This Row],[Year ]])*(tblFCFRaw[Company]=tblClean[[#This Row],[Company ]]),tblFCFRaw[FCF])</f>
        <v>108807</v>
      </c>
      <c r="J15" s="2">
        <f>tblClean[[#This Row],[FCF]]/tblClean[[#This Row],[Revenue]]</f>
        <v>0.27825386474356517</v>
      </c>
      <c r="K15" s="2" cm="1">
        <f t="array" ref="K15">IFERROR(tblClean[[#This Row],[Net Income]]/tblClean[[#This Row],[Equity]],_xleta.N/a)</f>
        <v>1.6459350307287095</v>
      </c>
      <c r="L15" s="2">
        <f>IFERROR(tblClean[[#This Row],[Debt]]/tblClean[[#This Row],[Assets]], )</f>
        <v>0.23494438051400077</v>
      </c>
      <c r="M15" s="2">
        <f>tblClean[[#This Row],[Revenue]]/tblClean[[#This Row],[Assets]]</f>
        <v>1.0713874732862074</v>
      </c>
    </row>
    <row r="16" spans="1:13" x14ac:dyDescent="0.2">
      <c r="A16" t="s">
        <v>15</v>
      </c>
      <c r="B16">
        <v>2025</v>
      </c>
      <c r="C16" cm="1">
        <f t="array" ref="C16">_xlfn.XLOOKUP(1, (tblRevenueRaw[Year]=tblClean[[#This Row],[Year ]])*(tblRevenueRaw[Company]=tblClean[[#This Row],[Company ]]),tblRevenueRaw[Revenue])</f>
        <v>416161</v>
      </c>
      <c r="D16" cm="1">
        <f t="array" ref="D16">_xlfn.XLOOKUP(1,(tblNetIncomeRaw[Year]=tblClean[[#This Row],[Year ]])*(tblNetIncomeRaw[Company]=tblClean[[#This Row],[Company ]]),tblNetIncomeRaw[Net Income])</f>
        <v>112010</v>
      </c>
      <c r="E16" s="2">
        <f>IFERROR(tblClean[[#This Row],[Net Income]]/tblClean[[#This Row],[Revenue]], )</f>
        <v>0.26915064121818238</v>
      </c>
      <c r="F16" cm="1">
        <f t="array" ref="F16">_xlfn.XLOOKUP(1, (tblEquityRaw[Year]=tblClean[[#This Row],[Year ]])*(tblEquityRaw[Company]=tblClean[[#This Row],[Company ]]),tblEquityRaw[Equity])</f>
        <v>73733</v>
      </c>
      <c r="G16" cm="1">
        <f t="array" ref="G16">_xlfn.XLOOKUP(1, (tblAssetsRaw[Year]=tblClean[[#This Row],[Year ]])*(tblAssetsRaw[Company]=tblClean[[#This Row],[Company ]]),tblAssetsRaw[Assets])</f>
        <v>359241</v>
      </c>
      <c r="H16" cm="1">
        <f t="array" ref="H16">_xlfn.XLOOKUP(1,(tblDebtRaw[Year]=tblClean[[#This Row],[Year ]])*(tblDebtRaw[Company]=tblClean[[#This Row],[Company ]]),tblDebtRaw[Debt])</f>
        <v>78328</v>
      </c>
      <c r="I16" cm="1">
        <f t="array" ref="I16">_xlfn.XLOOKUP(1,(tblFCFRaw[Year]=tblClean[[#This Row],[Year ]])*(tblFCFRaw[Company]=tblClean[[#This Row],[Company ]]),tblFCFRaw[FCF])</f>
        <v>98767</v>
      </c>
      <c r="J16" s="2">
        <f>tblClean[[#This Row],[FCF]]/tblClean[[#This Row],[Revenue]]</f>
        <v>0.23732882225869315</v>
      </c>
      <c r="K16" s="2" cm="1">
        <f t="array" ref="K16">IFERROR(tblClean[[#This Row],[Net Income]]/tblClean[[#This Row],[Equity]],_xleta.N/a)</f>
        <v>1.5191298333175105</v>
      </c>
      <c r="L16" s="2">
        <f>IFERROR(tblClean[[#This Row],[Debt]]/tblClean[[#This Row],[Assets]], )</f>
        <v>0.21803747345097024</v>
      </c>
      <c r="M16" s="2">
        <f>tblClean[[#This Row],[Revenue]]/tblClean[[#This Row],[Assets]]</f>
        <v>1.1584451663368045</v>
      </c>
    </row>
    <row r="17" spans="1:13" x14ac:dyDescent="0.2">
      <c r="A17" t="s">
        <v>17</v>
      </c>
      <c r="B17">
        <v>2011</v>
      </c>
      <c r="C17" cm="1">
        <f t="array" ref="C17">_xlfn.XLOOKUP(1, (tblRevenueRaw[Year]=tblClean[[#This Row],[Year ]])*(tblRevenueRaw[Company]=tblClean[[#This Row],[Company ]]),tblRevenueRaw[Revenue])</f>
        <v>69943</v>
      </c>
      <c r="D17" cm="1">
        <f t="array" ref="D17">_xlfn.XLOOKUP(1,(tblNetIncomeRaw[Year]=tblClean[[#This Row],[Year ]])*(tblNetIncomeRaw[Company]=tblClean[[#This Row],[Company ]]),tblNetIncomeRaw[Net Income])</f>
        <v>23150</v>
      </c>
      <c r="E17" s="2">
        <f>IFERROR(tblClean[[#This Row],[Net Income]]/tblClean[[#This Row],[Revenue]], )</f>
        <v>0.3309838010951775</v>
      </c>
      <c r="F17" cm="1">
        <f t="array" ref="F17">_xlfn.XLOOKUP(1, (tblEquityRaw[Year]=tblClean[[#This Row],[Year ]])*(tblEquityRaw[Company]=tblClean[[#This Row],[Company ]]),tblEquityRaw[Equity])</f>
        <v>57000</v>
      </c>
      <c r="G17" cm="1">
        <f t="array" ref="G17">_xlfn.XLOOKUP(1, (tblAssetsRaw[Year]=tblClean[[#This Row],[Year ]])*(tblAssetsRaw[Company]=tblClean[[#This Row],[Company ]]),tblAssetsRaw[Assets])</f>
        <v>108700</v>
      </c>
      <c r="H17" cm="1">
        <f t="array" ref="H17">_xlfn.XLOOKUP(1,(tblDebtRaw[Year]=tblClean[[#This Row],[Year ]])*(tblDebtRaw[Company]=tblClean[[#This Row],[Company ]]),tblDebtRaw[Debt])</f>
        <v>6146</v>
      </c>
      <c r="I17" cm="1">
        <f t="array" ref="I17">_xlfn.XLOOKUP(1,(tblFCFRaw[Year]=tblClean[[#This Row],[Year ]])*(tblFCFRaw[Company]=tblClean[[#This Row],[Company ]]),tblFCFRaw[FCF])</f>
        <v>24639</v>
      </c>
      <c r="J17" s="2">
        <f>tblClean[[#This Row],[FCF]]/tblClean[[#This Row],[Revenue]]</f>
        <v>0.35227256480276797</v>
      </c>
      <c r="K17" s="2" cm="1">
        <f t="array" ref="K17">IFERROR(tblClean[[#This Row],[Net Income]]/tblClean[[#This Row],[Equity]],_xleta.N/a)</f>
        <v>0.40614035087719297</v>
      </c>
      <c r="L17" s="2">
        <f>IFERROR(tblClean[[#This Row],[Debt]]/tblClean[[#This Row],[Assets]], )</f>
        <v>5.6540938362465501E-2</v>
      </c>
      <c r="M17" s="2">
        <f>tblClean[[#This Row],[Revenue]]/tblClean[[#This Row],[Assets]]</f>
        <v>0.64344986200551979</v>
      </c>
    </row>
    <row r="18" spans="1:13" x14ac:dyDescent="0.2">
      <c r="A18" t="s">
        <v>17</v>
      </c>
      <c r="B18">
        <v>2012</v>
      </c>
      <c r="C18" cm="1">
        <f t="array" ref="C18">_xlfn.XLOOKUP(1, (tblRevenueRaw[Year]=tblClean[[#This Row],[Year ]])*(tblRevenueRaw[Company]=tblClean[[#This Row],[Company ]]),tblRevenueRaw[Revenue])</f>
        <v>73723</v>
      </c>
      <c r="D18" cm="1">
        <f t="array" ref="D18">_xlfn.XLOOKUP(1,(tblNetIncomeRaw[Year]=tblClean[[#This Row],[Year ]])*(tblNetIncomeRaw[Company]=tblClean[[#This Row],[Company ]]),tblNetIncomeRaw[Net Income])</f>
        <v>16978</v>
      </c>
      <c r="E18" s="2">
        <f>IFERROR(tblClean[[#This Row],[Net Income]]/tblClean[[#This Row],[Revenue]], )</f>
        <v>0.23029448069123612</v>
      </c>
      <c r="F18" cm="1">
        <f t="array" ref="F18">_xlfn.XLOOKUP(1, (tblEquityRaw[Year]=tblClean[[#This Row],[Year ]])*(tblEquityRaw[Company]=tblClean[[#This Row],[Company ]]),tblEquityRaw[Equity])</f>
        <v>66500</v>
      </c>
      <c r="G18" cm="1">
        <f t="array" ref="G18">_xlfn.XLOOKUP(1, (tblAssetsRaw[Year]=tblClean[[#This Row],[Year ]])*(tblAssetsRaw[Company]=tblClean[[#This Row],[Company ]]),tblAssetsRaw[Assets])</f>
        <v>121300</v>
      </c>
      <c r="H18" cm="1">
        <f t="array" ref="H18">_xlfn.XLOOKUP(1,(tblDebtRaw[Year]=tblClean[[#This Row],[Year ]])*(tblDebtRaw[Company]=tblClean[[#This Row],[Company ]]),tblDebtRaw[Debt])</f>
        <v>10713</v>
      </c>
      <c r="I18" cm="1">
        <f t="array" ref="I18">_xlfn.XLOOKUP(1,(tblFCFRaw[Year]=tblClean[[#This Row],[Year ]])*(tblFCFRaw[Company]=tblClean[[#This Row],[Company ]]),tblFCFRaw[FCF])</f>
        <v>29321</v>
      </c>
      <c r="J18" s="2">
        <f>tblClean[[#This Row],[FCF]]/tblClean[[#This Row],[Revenue]]</f>
        <v>0.39771848676803712</v>
      </c>
      <c r="K18" s="2" cm="1">
        <f t="array" ref="K18">IFERROR(tblClean[[#This Row],[Net Income]]/tblClean[[#This Row],[Equity]],_xleta.N/a)</f>
        <v>0.25530827067669171</v>
      </c>
      <c r="L18" s="2">
        <f>IFERROR(tblClean[[#This Row],[Debt]]/tblClean[[#This Row],[Assets]], )</f>
        <v>8.8318219291014008E-2</v>
      </c>
      <c r="M18" s="2">
        <f>tblClean[[#This Row],[Revenue]]/tblClean[[#This Row],[Assets]]</f>
        <v>0.60777411376751855</v>
      </c>
    </row>
    <row r="19" spans="1:13" x14ac:dyDescent="0.2">
      <c r="A19" t="s">
        <v>17</v>
      </c>
      <c r="B19">
        <v>2013</v>
      </c>
      <c r="C19" cm="1">
        <f t="array" ref="C19">_xlfn.XLOOKUP(1, (tblRevenueRaw[Year]=tblClean[[#This Row],[Year ]])*(tblRevenueRaw[Company]=tblClean[[#This Row],[Company ]]),tblRevenueRaw[Revenue])</f>
        <v>77849</v>
      </c>
      <c r="D19" cm="1">
        <f t="array" ref="D19">_xlfn.XLOOKUP(1,(tblNetIncomeRaw[Year]=tblClean[[#This Row],[Year ]])*(tblNetIncomeRaw[Company]=tblClean[[#This Row],[Company ]]),tblNetIncomeRaw[Net Income])</f>
        <v>21863</v>
      </c>
      <c r="E19" s="2">
        <f>IFERROR(tblClean[[#This Row],[Net Income]]/tblClean[[#This Row],[Revenue]], )</f>
        <v>0.28083854641678119</v>
      </c>
      <c r="F19" cm="1">
        <f t="array" ref="F19">_xlfn.XLOOKUP(1, (tblEquityRaw[Year]=tblClean[[#This Row],[Year ]])*(tblEquityRaw[Company]=tblClean[[#This Row],[Company ]]),tblEquityRaw[Equity])</f>
        <v>78900</v>
      </c>
      <c r="G19" cm="1">
        <f t="array" ref="G19">_xlfn.XLOOKUP(1, (tblAssetsRaw[Year]=tblClean[[#This Row],[Year ]])*(tblAssetsRaw[Company]=tblClean[[#This Row],[Company ]]),tblAssetsRaw[Assets])</f>
        <v>142400</v>
      </c>
      <c r="H19" cm="1">
        <f t="array" ref="H19">_xlfn.XLOOKUP(1,(tblDebtRaw[Year]=tblClean[[#This Row],[Year ]])*(tblDebtRaw[Company]=tblClean[[#This Row],[Company ]]),tblDebtRaw[Debt])</f>
        <v>12601</v>
      </c>
      <c r="I19" cm="1">
        <f t="array" ref="I19">_xlfn.XLOOKUP(1,(tblFCFRaw[Year]=tblClean[[#This Row],[Year ]])*(tblFCFRaw[Company]=tblClean[[#This Row],[Company ]]),tblFCFRaw[FCF])</f>
        <v>24567</v>
      </c>
      <c r="J19" s="2">
        <f>tblClean[[#This Row],[FCF]]/tblClean[[#This Row],[Revenue]]</f>
        <v>0.31557245436678699</v>
      </c>
      <c r="K19" s="2" cm="1">
        <f t="array" ref="K19">IFERROR(tblClean[[#This Row],[Net Income]]/tblClean[[#This Row],[Equity]],_xleta.N/a)</f>
        <v>0.27709759188846639</v>
      </c>
      <c r="L19" s="2">
        <f>IFERROR(tblClean[[#This Row],[Debt]]/tblClean[[#This Row],[Assets]], )</f>
        <v>8.8490168539325842E-2</v>
      </c>
      <c r="M19" s="2">
        <f>tblClean[[#This Row],[Revenue]]/tblClean[[#This Row],[Assets]]</f>
        <v>0.54669241573033711</v>
      </c>
    </row>
    <row r="20" spans="1:13" x14ac:dyDescent="0.2">
      <c r="A20" t="s">
        <v>17</v>
      </c>
      <c r="B20">
        <v>2014</v>
      </c>
      <c r="C20" cm="1">
        <f t="array" ref="C20">_xlfn.XLOOKUP(1, (tblRevenueRaw[Year]=tblClean[[#This Row],[Year ]])*(tblRevenueRaw[Company]=tblClean[[#This Row],[Company ]]),tblRevenueRaw[Revenue])</f>
        <v>86833</v>
      </c>
      <c r="D20" cm="1">
        <f t="array" ref="D20">_xlfn.XLOOKUP(1,(tblNetIncomeRaw[Year]=tblClean[[#This Row],[Year ]])*(tblNetIncomeRaw[Company]=tblClean[[#This Row],[Company ]]),tblNetIncomeRaw[Net Income])</f>
        <v>22074</v>
      </c>
      <c r="E20" s="2">
        <f>IFERROR(tblClean[[#This Row],[Net Income]]/tblClean[[#This Row],[Revenue]], )</f>
        <v>0.25421210829983992</v>
      </c>
      <c r="F20" cm="1">
        <f t="array" ref="F20">_xlfn.XLOOKUP(1, (tblEquityRaw[Year]=tblClean[[#This Row],[Year ]])*(tblEquityRaw[Company]=tblClean[[#This Row],[Company ]]),tblEquityRaw[Equity])</f>
        <v>89700</v>
      </c>
      <c r="G20" cm="1">
        <f t="array" ref="G20">_xlfn.XLOOKUP(1, (tblAssetsRaw[Year]=tblClean[[#This Row],[Year ]])*(tblAssetsRaw[Company]=tblClean[[#This Row],[Company ]]),tblAssetsRaw[Assets])</f>
        <v>172400</v>
      </c>
      <c r="H20" cm="1">
        <f t="array" ref="H20">_xlfn.XLOOKUP(1,(tblDebtRaw[Year]=tblClean[[#This Row],[Year ]])*(tblDebtRaw[Company]=tblClean[[#This Row],[Company ]]),tblDebtRaw[Debt])</f>
        <v>20645</v>
      </c>
      <c r="I20" cm="1">
        <f t="array" ref="I20">_xlfn.XLOOKUP(1,(tblFCFRaw[Year]=tblClean[[#This Row],[Year ]])*(tblFCFRaw[Company]=tblClean[[#This Row],[Company ]]),tblFCFRaw[FCF])</f>
        <v>27017</v>
      </c>
      <c r="J20" s="2">
        <f>tblClean[[#This Row],[FCF]]/tblClean[[#This Row],[Revenue]]</f>
        <v>0.31113747077723908</v>
      </c>
      <c r="K20" s="2" cm="1">
        <f t="array" ref="K20">IFERROR(tblClean[[#This Row],[Net Income]]/tblClean[[#This Row],[Equity]],_xleta.N/a)</f>
        <v>0.24608695652173912</v>
      </c>
      <c r="L20" s="2">
        <f>IFERROR(tblClean[[#This Row],[Debt]]/tblClean[[#This Row],[Assets]], )</f>
        <v>0.11975058004640371</v>
      </c>
      <c r="M20" s="2">
        <f>tblClean[[#This Row],[Revenue]]/tblClean[[#This Row],[Assets]]</f>
        <v>0.5036716937354988</v>
      </c>
    </row>
    <row r="21" spans="1:13" x14ac:dyDescent="0.2">
      <c r="A21" t="s">
        <v>17</v>
      </c>
      <c r="B21">
        <v>2015</v>
      </c>
      <c r="C21" cm="1">
        <f t="array" ref="C21">_xlfn.XLOOKUP(1, (tblRevenueRaw[Year]=tblClean[[#This Row],[Year ]])*(tblRevenueRaw[Company]=tblClean[[#This Row],[Company ]]),tblRevenueRaw[Revenue])</f>
        <v>93580</v>
      </c>
      <c r="D21" cm="1">
        <f t="array" ref="D21">_xlfn.XLOOKUP(1,(tblNetIncomeRaw[Year]=tblClean[[#This Row],[Year ]])*(tblNetIncomeRaw[Company]=tblClean[[#This Row],[Company ]]),tblNetIncomeRaw[Net Income])</f>
        <v>12193</v>
      </c>
      <c r="E21" s="2">
        <f>IFERROR(tblClean[[#This Row],[Net Income]]/tblClean[[#This Row],[Revenue]], )</f>
        <v>0.13029493481513144</v>
      </c>
      <c r="F21" cm="1">
        <f t="array" ref="F21">_xlfn.XLOOKUP(1, (tblEquityRaw[Year]=tblClean[[#This Row],[Year ]])*(tblEquityRaw[Company]=tblClean[[#This Row],[Company ]]),tblEquityRaw[Equity])</f>
        <v>80000</v>
      </c>
      <c r="G21" cm="1">
        <f t="array" ref="G21">_xlfn.XLOOKUP(1, (tblAssetsRaw[Year]=tblClean[[#This Row],[Year ]])*(tblAssetsRaw[Company]=tblClean[[#This Row],[Company ]]),tblAssetsRaw[Assets])</f>
        <v>176200</v>
      </c>
      <c r="H21" cm="1">
        <f t="array" ref="H21">_xlfn.XLOOKUP(1,(tblDebtRaw[Year]=tblClean[[#This Row],[Year ]])*(tblDebtRaw[Company]=tblClean[[#This Row],[Company ]]),tblDebtRaw[Debt])</f>
        <v>27808</v>
      </c>
      <c r="I21" cm="1">
        <f t="array" ref="I21">_xlfn.XLOOKUP(1,(tblFCFRaw[Year]=tblClean[[#This Row],[Year ]])*(tblFCFRaw[Company]=tblClean[[#This Row],[Company ]]),tblFCFRaw[FCF])</f>
        <v>23724</v>
      </c>
      <c r="J21" s="2">
        <f>tblClean[[#This Row],[FCF]]/tblClean[[#This Row],[Revenue]]</f>
        <v>0.25351570848471894</v>
      </c>
      <c r="K21" s="2" cm="1">
        <f t="array" ref="K21">IFERROR(tblClean[[#This Row],[Net Income]]/tblClean[[#This Row],[Equity]],_xleta.N/a)</f>
        <v>0.15241250000000001</v>
      </c>
      <c r="L21" s="2">
        <f>IFERROR(tblClean[[#This Row],[Debt]]/tblClean[[#This Row],[Assets]], )</f>
        <v>0.15782065834279227</v>
      </c>
      <c r="M21" s="2">
        <f>tblClean[[#This Row],[Revenue]]/tblClean[[#This Row],[Assets]]</f>
        <v>0.53110102156640182</v>
      </c>
    </row>
    <row r="22" spans="1:13" x14ac:dyDescent="0.2">
      <c r="A22" t="s">
        <v>17</v>
      </c>
      <c r="B22">
        <v>2016</v>
      </c>
      <c r="C22" cm="1">
        <f t="array" ref="C22">_xlfn.XLOOKUP(1, (tblRevenueRaw[Year]=tblClean[[#This Row],[Year ]])*(tblRevenueRaw[Company]=tblClean[[#This Row],[Company ]]),tblRevenueRaw[Revenue])</f>
        <v>91154</v>
      </c>
      <c r="D22" cm="1">
        <f t="array" ref="D22">_xlfn.XLOOKUP(1,(tblNetIncomeRaw[Year]=tblClean[[#This Row],[Year ]])*(tblNetIncomeRaw[Company]=tblClean[[#This Row],[Company ]]),tblNetIncomeRaw[Net Income])</f>
        <v>20539</v>
      </c>
      <c r="E22" s="2">
        <f>IFERROR(tblClean[[#This Row],[Net Income]]/tblClean[[#This Row],[Revenue]], )</f>
        <v>0.22532198257893235</v>
      </c>
      <c r="F22" cm="1">
        <f t="array" ref="F22">_xlfn.XLOOKUP(1, (tblEquityRaw[Year]=tblClean[[#This Row],[Year ]])*(tblEquityRaw[Company]=tblClean[[#This Row],[Company ]]),tblEquityRaw[Equity])</f>
        <v>71900</v>
      </c>
      <c r="G22" cm="1">
        <f t="array" ref="G22">_xlfn.XLOOKUP(1, (tblAssetsRaw[Year]=tblClean[[#This Row],[Year ]])*(tblAssetsRaw[Company]=tblClean[[#This Row],[Company ]]),tblAssetsRaw[Assets])</f>
        <v>193700</v>
      </c>
      <c r="H22" cm="1">
        <f t="array" ref="H22">_xlfn.XLOOKUP(1,(tblDebtRaw[Year]=tblClean[[#This Row],[Year ]])*(tblDebtRaw[Company]=tblClean[[#This Row],[Company ]]),tblDebtRaw[Debt])</f>
        <v>40557</v>
      </c>
      <c r="I22" cm="1">
        <f t="array" ref="I22">_xlfn.XLOOKUP(1,(tblFCFRaw[Year]=tblClean[[#This Row],[Year ]])*(tblFCFRaw[Company]=tblClean[[#This Row],[Company ]]),tblFCFRaw[FCF])</f>
        <v>24928</v>
      </c>
      <c r="J22" s="2">
        <f>tblClean[[#This Row],[FCF]]/tblClean[[#This Row],[Revenue]]</f>
        <v>0.27347126840292252</v>
      </c>
      <c r="K22" s="2" cm="1">
        <f t="array" ref="K22">IFERROR(tblClean[[#This Row],[Net Income]]/tblClean[[#This Row],[Equity]],_xleta.N/a)</f>
        <v>0.28566063977746869</v>
      </c>
      <c r="L22" s="2">
        <f>IFERROR(tblClean[[#This Row],[Debt]]/tblClean[[#This Row],[Assets]], )</f>
        <v>0.20938048528652556</v>
      </c>
      <c r="M22" s="2">
        <f>tblClean[[#This Row],[Revenue]]/tblClean[[#This Row],[Assets]]</f>
        <v>0.47059370160041303</v>
      </c>
    </row>
    <row r="23" spans="1:13" x14ac:dyDescent="0.2">
      <c r="A23" t="s">
        <v>17</v>
      </c>
      <c r="B23">
        <v>2017</v>
      </c>
      <c r="C23" cm="1">
        <f t="array" ref="C23">_xlfn.XLOOKUP(1, (tblRevenueRaw[Year]=tblClean[[#This Row],[Year ]])*(tblRevenueRaw[Company]=tblClean[[#This Row],[Company ]]),tblRevenueRaw[Revenue])</f>
        <v>96571</v>
      </c>
      <c r="D23" cm="1">
        <f t="array" ref="D23">_xlfn.XLOOKUP(1,(tblNetIncomeRaw[Year]=tblClean[[#This Row],[Year ]])*(tblNetIncomeRaw[Company]=tblClean[[#This Row],[Company ]]),tblNetIncomeRaw[Net Income])</f>
        <v>25489</v>
      </c>
      <c r="E23" s="2">
        <f>IFERROR(tblClean[[#This Row],[Net Income]]/tblClean[[#This Row],[Revenue]], )</f>
        <v>0.26394052044609667</v>
      </c>
      <c r="F23" cm="1">
        <f t="array" ref="F23">_xlfn.XLOOKUP(1, (tblEquityRaw[Year]=tblClean[[#This Row],[Year ]])*(tblEquityRaw[Company]=tblClean[[#This Row],[Company ]]),tblEquityRaw[Equity])</f>
        <v>72400</v>
      </c>
      <c r="G23" cm="1">
        <f t="array" ref="G23">_xlfn.XLOOKUP(1, (tblAssetsRaw[Year]=tblClean[[#This Row],[Year ]])*(tblAssetsRaw[Company]=tblClean[[#This Row],[Company ]]),tblAssetsRaw[Assets])</f>
        <v>250300</v>
      </c>
      <c r="H23" cm="1">
        <f t="array" ref="H23">_xlfn.XLOOKUP(1,(tblDebtRaw[Year]=tblClean[[#This Row],[Year ]])*(tblDebtRaw[Company]=tblClean[[#This Row],[Company ]]),tblDebtRaw[Debt])</f>
        <v>76073</v>
      </c>
      <c r="I23" cm="1">
        <f t="array" ref="I23">_xlfn.XLOOKUP(1,(tblFCFRaw[Year]=tblClean[[#This Row],[Year ]])*(tblFCFRaw[Company]=tblClean[[#This Row],[Company ]]),tblFCFRaw[FCF])</f>
        <v>31378</v>
      </c>
      <c r="J23" s="2">
        <f>tblClean[[#This Row],[FCF]]/tblClean[[#This Row],[Revenue]]</f>
        <v>0.32492156030278241</v>
      </c>
      <c r="K23" s="2" cm="1">
        <f t="array" ref="K23">IFERROR(tblClean[[#This Row],[Net Income]]/tblClean[[#This Row],[Equity]],_xleta.N/a)</f>
        <v>0.35205801104972373</v>
      </c>
      <c r="L23" s="2">
        <f>IFERROR(tblClean[[#This Row],[Debt]]/tblClean[[#This Row],[Assets]], )</f>
        <v>0.30392728725529367</v>
      </c>
      <c r="M23" s="2">
        <f>tblClean[[#This Row],[Revenue]]/tblClean[[#This Row],[Assets]]</f>
        <v>0.38582101478226127</v>
      </c>
    </row>
    <row r="24" spans="1:13" x14ac:dyDescent="0.2">
      <c r="A24" t="s">
        <v>17</v>
      </c>
      <c r="B24">
        <v>2018</v>
      </c>
      <c r="C24" cm="1">
        <f t="array" ref="C24">_xlfn.XLOOKUP(1, (tblRevenueRaw[Year]=tblClean[[#This Row],[Year ]])*(tblRevenueRaw[Company]=tblClean[[#This Row],[Company ]]),tblRevenueRaw[Revenue])</f>
        <v>110360</v>
      </c>
      <c r="D24" cm="1">
        <f t="array" ref="D24">_xlfn.XLOOKUP(1,(tblNetIncomeRaw[Year]=tblClean[[#This Row],[Year ]])*(tblNetIncomeRaw[Company]=tblClean[[#This Row],[Company ]]),tblNetIncomeRaw[Net Income])</f>
        <v>16571</v>
      </c>
      <c r="E24" s="2">
        <f>IFERROR(tblClean[[#This Row],[Net Income]]/tblClean[[#This Row],[Revenue]], )</f>
        <v>0.15015404131931859</v>
      </c>
      <c r="F24" cm="1">
        <f t="array" ref="F24">_xlfn.XLOOKUP(1, (tblEquityRaw[Year]=tblClean[[#This Row],[Year ]])*(tblEquityRaw[Company]=tblClean[[#This Row],[Company ]]),tblEquityRaw[Equity])</f>
        <v>82700</v>
      </c>
      <c r="G24" cm="1">
        <f t="array" ref="G24">_xlfn.XLOOKUP(1, (tblAssetsRaw[Year]=tblClean[[#This Row],[Year ]])*(tblAssetsRaw[Company]=tblClean[[#This Row],[Company ]]),tblAssetsRaw[Assets])</f>
        <v>258800</v>
      </c>
      <c r="H24" cm="1">
        <f t="array" ref="H24">_xlfn.XLOOKUP(1,(tblDebtRaw[Year]=tblClean[[#This Row],[Year ]])*(tblDebtRaw[Company]=tblClean[[#This Row],[Company ]]),tblDebtRaw[Debt])</f>
        <v>72242</v>
      </c>
      <c r="I24" cm="1">
        <f t="array" ref="I24">_xlfn.XLOOKUP(1,(tblFCFRaw[Year]=tblClean[[#This Row],[Year ]])*(tblFCFRaw[Company]=tblClean[[#This Row],[Company ]]),tblFCFRaw[FCF])</f>
        <v>32353</v>
      </c>
      <c r="J24" s="2">
        <f>tblClean[[#This Row],[FCF]]/tblClean[[#This Row],[Revenue]]</f>
        <v>0.29315875317143891</v>
      </c>
      <c r="K24" s="2" cm="1">
        <f t="array" ref="K24">IFERROR(tblClean[[#This Row],[Net Income]]/tblClean[[#This Row],[Equity]],_xleta.N/a)</f>
        <v>0.20037484885126966</v>
      </c>
      <c r="L24" s="2">
        <f>IFERROR(tblClean[[#This Row],[Debt]]/tblClean[[#This Row],[Assets]], )</f>
        <v>0.27914219474497681</v>
      </c>
      <c r="M24" s="2">
        <f>tblClean[[#This Row],[Revenue]]/tblClean[[#This Row],[Assets]]</f>
        <v>0.42642967542503862</v>
      </c>
    </row>
    <row r="25" spans="1:13" x14ac:dyDescent="0.2">
      <c r="A25" t="s">
        <v>17</v>
      </c>
      <c r="B25">
        <v>2019</v>
      </c>
      <c r="C25" cm="1">
        <f t="array" ref="C25">_xlfn.XLOOKUP(1, (tblRevenueRaw[Year]=tblClean[[#This Row],[Year ]])*(tblRevenueRaw[Company]=tblClean[[#This Row],[Company ]]),tblRevenueRaw[Revenue])</f>
        <v>125843</v>
      </c>
      <c r="D25" cm="1">
        <f t="array" ref="D25">_xlfn.XLOOKUP(1,(tblNetIncomeRaw[Year]=tblClean[[#This Row],[Year ]])*(tblNetIncomeRaw[Company]=tblClean[[#This Row],[Company ]]),tblNetIncomeRaw[Net Income])</f>
        <v>39240</v>
      </c>
      <c r="E25" s="2">
        <f>IFERROR(tblClean[[#This Row],[Net Income]]/tblClean[[#This Row],[Revenue]], )</f>
        <v>0.31181710544090652</v>
      </c>
      <c r="F25" cm="1">
        <f t="array" ref="F25">_xlfn.XLOOKUP(1, (tblEquityRaw[Year]=tblClean[[#This Row],[Year ]])*(tblEquityRaw[Company]=tblClean[[#This Row],[Company ]]),tblEquityRaw[Equity])</f>
        <v>102300</v>
      </c>
      <c r="G25" cm="1">
        <f t="array" ref="G25">_xlfn.XLOOKUP(1, (tblAssetsRaw[Year]=tblClean[[#This Row],[Year ]])*(tblAssetsRaw[Company]=tblClean[[#This Row],[Company ]]),tblAssetsRaw[Assets])</f>
        <v>286600</v>
      </c>
      <c r="H25" cm="1">
        <f t="array" ref="H25">_xlfn.XLOOKUP(1,(tblDebtRaw[Year]=tblClean[[#This Row],[Year ]])*(tblDebtRaw[Company]=tblClean[[#This Row],[Company ]]),tblDebtRaw[Debt])</f>
        <v>66662</v>
      </c>
      <c r="I25" cm="1">
        <f t="array" ref="I25">_xlfn.XLOOKUP(1,(tblFCFRaw[Year]=tblClean[[#This Row],[Year ]])*(tblFCFRaw[Company]=tblClean[[#This Row],[Company ]]),tblFCFRaw[FCF])</f>
        <v>38260</v>
      </c>
      <c r="J25" s="2">
        <f>tblClean[[#This Row],[FCF]]/tblClean[[#This Row],[Revenue]]</f>
        <v>0.30402962421429874</v>
      </c>
      <c r="K25" s="2" cm="1">
        <f t="array" ref="K25">IFERROR(tblClean[[#This Row],[Net Income]]/tblClean[[#This Row],[Equity]],_xleta.N/a)</f>
        <v>0.3835777126099707</v>
      </c>
      <c r="L25" s="2">
        <f>IFERROR(tblClean[[#This Row],[Debt]]/tblClean[[#This Row],[Assets]], )</f>
        <v>0.23259595254710397</v>
      </c>
      <c r="M25" s="2">
        <f>tblClean[[#This Row],[Revenue]]/tblClean[[#This Row],[Assets]]</f>
        <v>0.43908932309839499</v>
      </c>
    </row>
    <row r="26" spans="1:13" x14ac:dyDescent="0.2">
      <c r="A26" t="s">
        <v>17</v>
      </c>
      <c r="B26">
        <v>2020</v>
      </c>
      <c r="C26" cm="1">
        <f t="array" ref="C26">_xlfn.XLOOKUP(1, (tblRevenueRaw[Year]=tblClean[[#This Row],[Year ]])*(tblRevenueRaw[Company]=tblClean[[#This Row],[Company ]]),tblRevenueRaw[Revenue])</f>
        <v>143015</v>
      </c>
      <c r="D26" cm="1">
        <f t="array" ref="D26">_xlfn.XLOOKUP(1,(tblNetIncomeRaw[Year]=tblClean[[#This Row],[Year ]])*(tblNetIncomeRaw[Company]=tblClean[[#This Row],[Company ]]),tblNetIncomeRaw[Net Income])</f>
        <v>44281</v>
      </c>
      <c r="E26" s="2">
        <f>IFERROR(tblClean[[#This Row],[Net Income]]/tblClean[[#This Row],[Revenue]], )</f>
        <v>0.30962486452470023</v>
      </c>
      <c r="F26" cm="1">
        <f t="array" ref="F26">_xlfn.XLOOKUP(1, (tblEquityRaw[Year]=tblClean[[#This Row],[Year ]])*(tblEquityRaw[Company]=tblClean[[#This Row],[Company ]]),tblEquityRaw[Equity])</f>
        <v>118300</v>
      </c>
      <c r="G26" cm="1">
        <f t="array" ref="G26">_xlfn.XLOOKUP(1, (tblAssetsRaw[Year]=tblClean[[#This Row],[Year ]])*(tblAssetsRaw[Company]=tblClean[[#This Row],[Company ]]),tblAssetsRaw[Assets])</f>
        <v>301300</v>
      </c>
      <c r="H26" cm="1">
        <f t="array" ref="H26">_xlfn.XLOOKUP(1,(tblDebtRaw[Year]=tblClean[[#This Row],[Year ]])*(tblDebtRaw[Company]=tblClean[[#This Row],[Company ]]),tblDebtRaw[Debt])</f>
        <v>59578</v>
      </c>
      <c r="I26" cm="1">
        <f t="array" ref="I26">_xlfn.XLOOKUP(1,(tblFCFRaw[Year]=tblClean[[#This Row],[Year ]])*(tblFCFRaw[Company]=tblClean[[#This Row],[Company ]]),tblFCFRaw[FCF])</f>
        <v>45234</v>
      </c>
      <c r="J26" s="2">
        <f>tblClean[[#This Row],[FCF]]/tblClean[[#This Row],[Revenue]]</f>
        <v>0.31628850120616719</v>
      </c>
      <c r="K26" s="2" cm="1">
        <f t="array" ref="K26">IFERROR(tblClean[[#This Row],[Net Income]]/tblClean[[#This Row],[Equity]],_xleta.N/a)</f>
        <v>0.37431107354184279</v>
      </c>
      <c r="L26" s="2">
        <f>IFERROR(tblClean[[#This Row],[Debt]]/tblClean[[#This Row],[Assets]], )</f>
        <v>0.19773647527381347</v>
      </c>
      <c r="M26" s="2">
        <f>tblClean[[#This Row],[Revenue]]/tblClean[[#This Row],[Assets]]</f>
        <v>0.47465980750082976</v>
      </c>
    </row>
    <row r="27" spans="1:13" x14ac:dyDescent="0.2">
      <c r="A27" t="s">
        <v>17</v>
      </c>
      <c r="B27">
        <v>2021</v>
      </c>
      <c r="C27" cm="1">
        <f t="array" ref="C27">_xlfn.XLOOKUP(1, (tblRevenueRaw[Year]=tblClean[[#This Row],[Year ]])*(tblRevenueRaw[Company]=tblClean[[#This Row],[Company ]]),tblRevenueRaw[Revenue])</f>
        <v>168088</v>
      </c>
      <c r="D27" cm="1">
        <f t="array" ref="D27">_xlfn.XLOOKUP(1,(tblNetIncomeRaw[Year]=tblClean[[#This Row],[Year ]])*(tblNetIncomeRaw[Company]=tblClean[[#This Row],[Company ]]),tblNetIncomeRaw[Net Income])</f>
        <v>61271</v>
      </c>
      <c r="E27" s="2">
        <f>IFERROR(tblClean[[#This Row],[Net Income]]/tblClean[[#This Row],[Revenue]], )</f>
        <v>0.36451739564989766</v>
      </c>
      <c r="F27" cm="1">
        <f t="array" ref="F27">_xlfn.XLOOKUP(1, (tblEquityRaw[Year]=tblClean[[#This Row],[Year ]])*(tblEquityRaw[Company]=tblClean[[#This Row],[Company ]]),tblEquityRaw[Equity])</f>
        <v>141900</v>
      </c>
      <c r="G27" cm="1">
        <f t="array" ref="G27">_xlfn.XLOOKUP(1, (tblAssetsRaw[Year]=tblClean[[#This Row],[Year ]])*(tblAssetsRaw[Company]=tblClean[[#This Row],[Company ]]),tblAssetsRaw[Assets])</f>
        <v>333800</v>
      </c>
      <c r="H27" cm="1">
        <f t="array" ref="H27">_xlfn.XLOOKUP(1,(tblDebtRaw[Year]=tblClean[[#This Row],[Year ]])*(tblDebtRaw[Company]=tblClean[[#This Row],[Company ]]),tblDebtRaw[Debt])</f>
        <v>50074</v>
      </c>
      <c r="I27" cm="1">
        <f t="array" ref="I27">_xlfn.XLOOKUP(1,(tblFCFRaw[Year]=tblClean[[#This Row],[Year ]])*(tblFCFRaw[Company]=tblClean[[#This Row],[Company ]]),tblFCFRaw[FCF])</f>
        <v>56118</v>
      </c>
      <c r="J27" s="2">
        <f>tblClean[[#This Row],[FCF]]/tblClean[[#This Row],[Revenue]]</f>
        <v>0.33386083480081863</v>
      </c>
      <c r="K27" s="2" cm="1">
        <f t="array" ref="K27">IFERROR(tblClean[[#This Row],[Net Income]]/tblClean[[#This Row],[Equity]],_xleta.N/a)</f>
        <v>0.43178999295278364</v>
      </c>
      <c r="L27" s="2">
        <f>IFERROR(tblClean[[#This Row],[Debt]]/tblClean[[#This Row],[Assets]], )</f>
        <v>0.15001198322348711</v>
      </c>
      <c r="M27" s="2">
        <f>tblClean[[#This Row],[Revenue]]/tblClean[[#This Row],[Assets]]</f>
        <v>0.5035590173756741</v>
      </c>
    </row>
    <row r="28" spans="1:13" x14ac:dyDescent="0.2">
      <c r="A28" t="s">
        <v>17</v>
      </c>
      <c r="B28">
        <v>2022</v>
      </c>
      <c r="C28" cm="1">
        <f t="array" ref="C28">_xlfn.XLOOKUP(1, (tblRevenueRaw[Year]=tblClean[[#This Row],[Year ]])*(tblRevenueRaw[Company]=tblClean[[#This Row],[Company ]]),tblRevenueRaw[Revenue])</f>
        <v>198270</v>
      </c>
      <c r="D28" cm="1">
        <f t="array" ref="D28">_xlfn.XLOOKUP(1,(tblNetIncomeRaw[Year]=tblClean[[#This Row],[Year ]])*(tblNetIncomeRaw[Company]=tblClean[[#This Row],[Company ]]),tblNetIncomeRaw[Net Income])</f>
        <v>72738</v>
      </c>
      <c r="E28" s="2">
        <f>IFERROR(tblClean[[#This Row],[Net Income]]/tblClean[[#This Row],[Revenue]], )</f>
        <v>0.36686336813436221</v>
      </c>
      <c r="F28" cm="1">
        <f t="array" ref="F28">_xlfn.XLOOKUP(1, (tblEquityRaw[Year]=tblClean[[#This Row],[Year ]])*(tblEquityRaw[Company]=tblClean[[#This Row],[Company ]]),tblEquityRaw[Equity])</f>
        <v>166500</v>
      </c>
      <c r="G28" cm="1">
        <f t="array" ref="G28">_xlfn.XLOOKUP(1, (tblAssetsRaw[Year]=tblClean[[#This Row],[Year ]])*(tblAssetsRaw[Company]=tblClean[[#This Row],[Company ]]),tblAssetsRaw[Assets])</f>
        <v>364800</v>
      </c>
      <c r="H28" cm="1">
        <f t="array" ref="H28">_xlfn.XLOOKUP(1,(tblDebtRaw[Year]=tblClean[[#This Row],[Year ]])*(tblDebtRaw[Company]=tblClean[[#This Row],[Company ]]),tblDebtRaw[Debt])</f>
        <v>47032</v>
      </c>
      <c r="I28" cm="1">
        <f t="array" ref="I28">_xlfn.XLOOKUP(1,(tblFCFRaw[Year]=tblClean[[#This Row],[Year ]])*(tblFCFRaw[Company]=tblClean[[#This Row],[Company ]]),tblFCFRaw[FCF])</f>
        <v>65149</v>
      </c>
      <c r="J28" s="2">
        <f>tblClean[[#This Row],[FCF]]/tblClean[[#This Row],[Revenue]]</f>
        <v>0.32858727997175569</v>
      </c>
      <c r="K28" s="2" cm="1">
        <f t="array" ref="K28">IFERROR(tblClean[[#This Row],[Net Income]]/tblClean[[#This Row],[Equity]],_xleta.N/a)</f>
        <v>0.43686486486486487</v>
      </c>
      <c r="L28" s="2">
        <f>IFERROR(tblClean[[#This Row],[Debt]]/tblClean[[#This Row],[Assets]], )</f>
        <v>0.12892543859649122</v>
      </c>
      <c r="M28" s="2">
        <f>tblClean[[#This Row],[Revenue]]/tblClean[[#This Row],[Assets]]</f>
        <v>0.5435032894736842</v>
      </c>
    </row>
    <row r="29" spans="1:13" x14ac:dyDescent="0.2">
      <c r="A29" t="s">
        <v>17</v>
      </c>
      <c r="B29">
        <v>2023</v>
      </c>
      <c r="C29" cm="1">
        <f t="array" ref="C29">_xlfn.XLOOKUP(1, (tblRevenueRaw[Year]=tblClean[[#This Row],[Year ]])*(tblRevenueRaw[Company]=tblClean[[#This Row],[Company ]]),tblRevenueRaw[Revenue])</f>
        <v>211915</v>
      </c>
      <c r="D29" cm="1">
        <f t="array" ref="D29">_xlfn.XLOOKUP(1,(tblNetIncomeRaw[Year]=tblClean[[#This Row],[Year ]])*(tblNetIncomeRaw[Company]=tblClean[[#This Row],[Company ]]),tblNetIncomeRaw[Net Income])</f>
        <v>72361</v>
      </c>
      <c r="E29" s="2">
        <f>IFERROR(tblClean[[#This Row],[Net Income]]/tblClean[[#This Row],[Revenue]], )</f>
        <v>0.34146237878394642</v>
      </c>
      <c r="F29" cm="1">
        <f t="array" ref="F29">_xlfn.XLOOKUP(1, (tblEquityRaw[Year]=tblClean[[#This Row],[Year ]])*(tblEquityRaw[Company]=tblClean[[#This Row],[Company ]]),tblEquityRaw[Equity])</f>
        <v>167000</v>
      </c>
      <c r="G29" cm="1">
        <f t="array" ref="G29">_xlfn.XLOOKUP(1, (tblAssetsRaw[Year]=tblClean[[#This Row],[Year ]])*(tblAssetsRaw[Company]=tblClean[[#This Row],[Company ]]),tblAssetsRaw[Assets])</f>
        <v>411000</v>
      </c>
      <c r="H29" cm="1">
        <f t="array" ref="H29">_xlfn.XLOOKUP(1,(tblDebtRaw[Year]=tblClean[[#This Row],[Year ]])*(tblDebtRaw[Company]=tblClean[[#This Row],[Company ]]),tblDebtRaw[Debt])</f>
        <v>41990</v>
      </c>
      <c r="I29" cm="1">
        <f t="array" ref="I29">_xlfn.XLOOKUP(1,(tblFCFRaw[Year]=tblClean[[#This Row],[Year ]])*(tblFCFRaw[Company]=tblClean[[#This Row],[Company ]]),tblFCFRaw[FCF])</f>
        <v>59475</v>
      </c>
      <c r="J29" s="2">
        <f>tblClean[[#This Row],[FCF]]/tblClean[[#This Row],[Revenue]]</f>
        <v>0.28065497959087371</v>
      </c>
      <c r="K29" s="2" cm="1">
        <f t="array" ref="K29">IFERROR(tblClean[[#This Row],[Net Income]]/tblClean[[#This Row],[Equity]],_xleta.N/a)</f>
        <v>0.43329940119760479</v>
      </c>
      <c r="L29" s="2">
        <f>IFERROR(tblClean[[#This Row],[Debt]]/tblClean[[#This Row],[Assets]], )</f>
        <v>0.1021654501216545</v>
      </c>
      <c r="M29" s="2">
        <f>tblClean[[#This Row],[Revenue]]/tblClean[[#This Row],[Assets]]</f>
        <v>0.51560827250608277</v>
      </c>
    </row>
    <row r="30" spans="1:13" x14ac:dyDescent="0.2">
      <c r="A30" t="s">
        <v>17</v>
      </c>
      <c r="B30">
        <v>2024</v>
      </c>
      <c r="C30" cm="1">
        <f t="array" ref="C30">_xlfn.XLOOKUP(1, (tblRevenueRaw[Year]=tblClean[[#This Row],[Year ]])*(tblRevenueRaw[Company]=tblClean[[#This Row],[Company ]]),tblRevenueRaw[Revenue])</f>
        <v>245122</v>
      </c>
      <c r="D30" cm="1">
        <f t="array" ref="D30">_xlfn.XLOOKUP(1,(tblNetIncomeRaw[Year]=tblClean[[#This Row],[Year ]])*(tblNetIncomeRaw[Company]=tblClean[[#This Row],[Company ]]),tblNetIncomeRaw[Net Income])</f>
        <v>88136</v>
      </c>
      <c r="E30" s="2">
        <f>IFERROR(tblClean[[#This Row],[Net Income]]/tblClean[[#This Row],[Revenue]], )</f>
        <v>0.35955972944084985</v>
      </c>
      <c r="F30" cm="1">
        <f t="array" ref="F30">_xlfn.XLOOKUP(1, (tblEquityRaw[Year]=tblClean[[#This Row],[Year ]])*(tblEquityRaw[Company]=tblClean[[#This Row],[Company ]]),tblEquityRaw[Equity])</f>
        <v>206000</v>
      </c>
      <c r="G30" cm="1">
        <f t="array" ref="G30">_xlfn.XLOOKUP(1, (tblAssetsRaw[Year]=tblClean[[#This Row],[Year ]])*(tblAssetsRaw[Company]=tblClean[[#This Row],[Company ]]),tblAssetsRaw[Assets])</f>
        <v>512000</v>
      </c>
      <c r="H30" cm="1">
        <f t="array" ref="H30">_xlfn.XLOOKUP(1,(tblDebtRaw[Year]=tblClean[[#This Row],[Year ]])*(tblDebtRaw[Company]=tblClean[[#This Row],[Company ]]),tblDebtRaw[Debt])</f>
        <v>42688</v>
      </c>
      <c r="I30" cm="1">
        <f t="array" ref="I30">_xlfn.XLOOKUP(1,(tblFCFRaw[Year]=tblClean[[#This Row],[Year ]])*(tblFCFRaw[Company]=tblClean[[#This Row],[Company ]]),tblFCFRaw[FCF])</f>
        <v>74071</v>
      </c>
      <c r="J30" s="2">
        <f>tblClean[[#This Row],[FCF]]/tblClean[[#This Row],[Revenue]]</f>
        <v>0.30218013886962408</v>
      </c>
      <c r="K30" s="2" cm="1">
        <f t="array" ref="K30">IFERROR(tblClean[[#This Row],[Net Income]]/tblClean[[#This Row],[Equity]],_xleta.N/a)</f>
        <v>0.42784466019417478</v>
      </c>
      <c r="L30" s="2">
        <f>IFERROR(tblClean[[#This Row],[Debt]]/tblClean[[#This Row],[Assets]], )</f>
        <v>8.3375000000000005E-2</v>
      </c>
      <c r="M30" s="2">
        <f>tblClean[[#This Row],[Revenue]]/tblClean[[#This Row],[Assets]]</f>
        <v>0.47875390625000003</v>
      </c>
    </row>
    <row r="31" spans="1:13" x14ac:dyDescent="0.2">
      <c r="A31" t="s">
        <v>17</v>
      </c>
      <c r="B31">
        <v>2025</v>
      </c>
      <c r="C31" cm="1">
        <f t="array" ref="C31">_xlfn.XLOOKUP(1, (tblRevenueRaw[Year]=tblClean[[#This Row],[Year ]])*(tblRevenueRaw[Company]=tblClean[[#This Row],[Company ]]),tblRevenueRaw[Revenue])</f>
        <v>281724</v>
      </c>
      <c r="D31" cm="1">
        <f t="array" ref="D31">_xlfn.XLOOKUP(1,(tblNetIncomeRaw[Year]=tblClean[[#This Row],[Year ]])*(tblNetIncomeRaw[Company]=tblClean[[#This Row],[Company ]]),tblNetIncomeRaw[Net Income])</f>
        <v>101832</v>
      </c>
      <c r="E31" s="2">
        <f>IFERROR(tblClean[[#This Row],[Net Income]]/tblClean[[#This Row],[Revenue]], )</f>
        <v>0.36146015248967073</v>
      </c>
      <c r="F31" cm="1">
        <f t="array" ref="F31">_xlfn.XLOOKUP(1, (tblEquityRaw[Year]=tblClean[[#This Row],[Year ]])*(tblEquityRaw[Company]=tblClean[[#This Row],[Company ]]),tblEquityRaw[Equity])</f>
        <v>238000</v>
      </c>
      <c r="G31" cm="1">
        <f t="array" ref="G31">_xlfn.XLOOKUP(1, (tblAssetsRaw[Year]=tblClean[[#This Row],[Year ]])*(tblAssetsRaw[Company]=tblClean[[#This Row],[Company ]]),tblAssetsRaw[Assets])</f>
        <v>619000</v>
      </c>
      <c r="H31" cm="1">
        <f t="array" ref="H31">_xlfn.XLOOKUP(1,(tblDebtRaw[Year]=tblClean[[#This Row],[Year ]])*(tblDebtRaw[Company]=tblClean[[#This Row],[Company ]]),tblDebtRaw[Debt])</f>
        <v>40152</v>
      </c>
      <c r="I31" cm="1">
        <f t="array" ref="I31">_xlfn.XLOOKUP(1,(tblFCFRaw[Year]=tblClean[[#This Row],[Year ]])*(tblFCFRaw[Company]=tblClean[[#This Row],[Company ]]),tblFCFRaw[FCF])</f>
        <v>71611</v>
      </c>
      <c r="J31" s="2">
        <f>tblClean[[#This Row],[FCF]]/tblClean[[#This Row],[Revenue]]</f>
        <v>0.25418849654271558</v>
      </c>
      <c r="K31" s="2" cm="1">
        <f t="array" ref="K31">IFERROR(tblClean[[#This Row],[Net Income]]/tblClean[[#This Row],[Equity]],_xleta.N/a)</f>
        <v>0.42786554621848738</v>
      </c>
      <c r="L31" s="2">
        <f>IFERROR(tblClean[[#This Row],[Debt]]/tblClean[[#This Row],[Assets]], )</f>
        <v>6.4865912762520198E-2</v>
      </c>
      <c r="M31" s="2">
        <f>tblClean[[#This Row],[Revenue]]/tblClean[[#This Row],[Assets]]</f>
        <v>0.45512762520193861</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72F65-B7F7-F743-AB10-2ABC1C1515BF}">
  <dimension ref="A10:I46"/>
  <sheetViews>
    <sheetView showGridLines="0" workbookViewId="0">
      <selection activeCell="C9" sqref="C9"/>
    </sheetView>
  </sheetViews>
  <sheetFormatPr baseColWidth="10" defaultRowHeight="16" x14ac:dyDescent="0.2"/>
  <cols>
    <col min="1" max="1" width="22.6640625" bestFit="1" customWidth="1"/>
    <col min="2" max="2" width="16" bestFit="1" customWidth="1"/>
    <col min="3" max="3" width="9.1640625" bestFit="1" customWidth="1"/>
    <col min="4" max="4" width="10.5" bestFit="1" customWidth="1"/>
    <col min="5" max="5" width="13" bestFit="1" customWidth="1"/>
    <col min="6" max="6" width="33.33203125" bestFit="1" customWidth="1"/>
    <col min="7" max="7" width="16" bestFit="1" customWidth="1"/>
    <col min="8" max="8" width="9.1640625" bestFit="1" customWidth="1"/>
    <col min="9" max="9" width="10.5" bestFit="1" customWidth="1"/>
    <col min="10" max="10" width="16" bestFit="1" customWidth="1"/>
    <col min="11" max="11" width="9.1640625" bestFit="1" customWidth="1"/>
    <col min="12" max="12" width="13" bestFit="1" customWidth="1"/>
    <col min="13" max="13" width="16" bestFit="1" customWidth="1"/>
    <col min="14" max="14" width="9.1640625" bestFit="1" customWidth="1"/>
    <col min="15" max="15" width="10.5" bestFit="1" customWidth="1"/>
  </cols>
  <sheetData>
    <row r="10" spans="1:9" x14ac:dyDescent="0.2">
      <c r="A10" s="3" t="s">
        <v>27</v>
      </c>
      <c r="B10" s="3" t="s">
        <v>26</v>
      </c>
      <c r="F10" s="3" t="s">
        <v>28</v>
      </c>
      <c r="G10" s="3" t="s">
        <v>26</v>
      </c>
    </row>
    <row r="11" spans="1:9" x14ac:dyDescent="0.2">
      <c r="A11" s="3" t="s">
        <v>13</v>
      </c>
      <c r="B11" t="s">
        <v>15</v>
      </c>
      <c r="C11" t="s">
        <v>17</v>
      </c>
      <c r="D11" t="s">
        <v>14</v>
      </c>
      <c r="F11" s="3" t="s">
        <v>13</v>
      </c>
      <c r="G11" t="s">
        <v>15</v>
      </c>
      <c r="H11" t="s">
        <v>17</v>
      </c>
      <c r="I11" t="s">
        <v>14</v>
      </c>
    </row>
    <row r="12" spans="1:9" x14ac:dyDescent="0.2">
      <c r="A12" s="4">
        <v>2011</v>
      </c>
      <c r="B12">
        <v>108249</v>
      </c>
      <c r="C12">
        <v>69943</v>
      </c>
      <c r="D12">
        <v>178192</v>
      </c>
      <c r="F12" s="4">
        <v>2011</v>
      </c>
      <c r="G12" s="5">
        <v>0.2394664153941376</v>
      </c>
      <c r="H12" s="5">
        <v>0.3309838010951775</v>
      </c>
      <c r="I12" s="5">
        <v>0.28522510824465752</v>
      </c>
    </row>
    <row r="13" spans="1:9" x14ac:dyDescent="0.2">
      <c r="A13" s="4">
        <v>2012</v>
      </c>
      <c r="B13">
        <v>156508</v>
      </c>
      <c r="C13">
        <v>73723</v>
      </c>
      <c r="D13">
        <v>230231</v>
      </c>
      <c r="F13" s="4">
        <v>2012</v>
      </c>
      <c r="G13" s="5">
        <v>0.26665090602397323</v>
      </c>
      <c r="H13" s="5">
        <v>0.23029448069123612</v>
      </c>
      <c r="I13" s="5">
        <v>0.24847269335760469</v>
      </c>
    </row>
    <row r="14" spans="1:9" x14ac:dyDescent="0.2">
      <c r="A14" s="4">
        <v>2013</v>
      </c>
      <c r="B14">
        <v>170910</v>
      </c>
      <c r="C14">
        <v>77849</v>
      </c>
      <c r="D14">
        <v>248759</v>
      </c>
      <c r="F14" s="4">
        <v>2013</v>
      </c>
      <c r="G14" s="5">
        <v>0.21670469837926393</v>
      </c>
      <c r="H14" s="5">
        <v>0.28083854641678119</v>
      </c>
      <c r="I14" s="5">
        <v>0.24877162239802256</v>
      </c>
    </row>
    <row r="15" spans="1:9" x14ac:dyDescent="0.2">
      <c r="A15" s="4">
        <v>2014</v>
      </c>
      <c r="B15">
        <v>182795</v>
      </c>
      <c r="C15">
        <v>86833</v>
      </c>
      <c r="D15">
        <v>269628</v>
      </c>
      <c r="F15" s="4">
        <v>2014</v>
      </c>
      <c r="G15" s="5">
        <v>0.21614376760852322</v>
      </c>
      <c r="H15" s="5">
        <v>0.25421210829983992</v>
      </c>
      <c r="I15" s="5">
        <v>0.23517793795418157</v>
      </c>
    </row>
    <row r="16" spans="1:9" x14ac:dyDescent="0.2">
      <c r="A16" s="4">
        <v>2015</v>
      </c>
      <c r="B16">
        <v>233715</v>
      </c>
      <c r="C16">
        <v>93580</v>
      </c>
      <c r="D16">
        <v>327295</v>
      </c>
      <c r="F16" s="4">
        <v>2015</v>
      </c>
      <c r="G16" s="5">
        <v>0.22845773698735639</v>
      </c>
      <c r="H16" s="5">
        <v>0.13029493481513144</v>
      </c>
      <c r="I16" s="5">
        <v>0.17937633590124391</v>
      </c>
    </row>
    <row r="17" spans="1:9" x14ac:dyDescent="0.2">
      <c r="A17" s="4">
        <v>2016</v>
      </c>
      <c r="B17">
        <v>215639</v>
      </c>
      <c r="C17">
        <v>91154</v>
      </c>
      <c r="D17">
        <v>306793</v>
      </c>
      <c r="F17" s="4">
        <v>2016</v>
      </c>
      <c r="G17" s="5">
        <v>0.211867983064288</v>
      </c>
      <c r="H17" s="5">
        <v>0.22532198257893235</v>
      </c>
      <c r="I17" s="5">
        <v>0.21859498282161016</v>
      </c>
    </row>
    <row r="18" spans="1:9" x14ac:dyDescent="0.2">
      <c r="A18" s="4">
        <v>2017</v>
      </c>
      <c r="B18">
        <v>229234</v>
      </c>
      <c r="C18">
        <v>96571</v>
      </c>
      <c r="D18">
        <v>325805</v>
      </c>
      <c r="F18" s="4">
        <v>2017</v>
      </c>
      <c r="G18" s="5">
        <v>0.21092420845075338</v>
      </c>
      <c r="H18" s="5">
        <v>0.26394052044609667</v>
      </c>
      <c r="I18" s="5">
        <v>0.23743236444842503</v>
      </c>
    </row>
    <row r="19" spans="1:9" x14ac:dyDescent="0.2">
      <c r="A19" s="4">
        <v>2018</v>
      </c>
      <c r="B19">
        <v>265595</v>
      </c>
      <c r="C19">
        <v>110360</v>
      </c>
      <c r="D19">
        <v>375955</v>
      </c>
      <c r="F19" s="4">
        <v>2018</v>
      </c>
      <c r="G19" s="5">
        <v>0.22414202074587247</v>
      </c>
      <c r="H19" s="5">
        <v>0.15015404131931859</v>
      </c>
      <c r="I19" s="5">
        <v>0.18714803103259553</v>
      </c>
    </row>
    <row r="20" spans="1:9" x14ac:dyDescent="0.2">
      <c r="A20" s="4">
        <v>2019</v>
      </c>
      <c r="B20">
        <v>260174</v>
      </c>
      <c r="C20">
        <v>125843</v>
      </c>
      <c r="D20">
        <v>386017</v>
      </c>
      <c r="F20" s="4">
        <v>2019</v>
      </c>
      <c r="G20" s="5">
        <v>0.21238094505984456</v>
      </c>
      <c r="H20" s="5">
        <v>0.31181710544090652</v>
      </c>
      <c r="I20" s="5">
        <v>0.26209902525037554</v>
      </c>
    </row>
    <row r="21" spans="1:9" x14ac:dyDescent="0.2">
      <c r="A21" s="4">
        <v>2020</v>
      </c>
      <c r="B21">
        <v>274515</v>
      </c>
      <c r="C21">
        <v>143015</v>
      </c>
      <c r="D21">
        <v>417530</v>
      </c>
      <c r="F21" s="4">
        <v>2020</v>
      </c>
      <c r="G21" s="5">
        <v>0.20913611278072236</v>
      </c>
      <c r="H21" s="5">
        <v>0.30962486452470023</v>
      </c>
      <c r="I21" s="5">
        <v>0.25938048865271129</v>
      </c>
    </row>
    <row r="22" spans="1:9" x14ac:dyDescent="0.2">
      <c r="A22" s="4">
        <v>2021</v>
      </c>
      <c r="B22">
        <v>365817</v>
      </c>
      <c r="C22">
        <v>168088</v>
      </c>
      <c r="D22">
        <v>533905</v>
      </c>
      <c r="F22" s="4">
        <v>2021</v>
      </c>
      <c r="G22" s="5">
        <v>0.25881793355694238</v>
      </c>
      <c r="H22" s="5">
        <v>0.36451739564989766</v>
      </c>
      <c r="I22" s="5">
        <v>0.31166766460341999</v>
      </c>
    </row>
    <row r="23" spans="1:9" x14ac:dyDescent="0.2">
      <c r="A23" s="4">
        <v>2022</v>
      </c>
      <c r="B23">
        <v>394328</v>
      </c>
      <c r="C23">
        <v>198270</v>
      </c>
      <c r="D23">
        <v>592598</v>
      </c>
      <c r="F23" s="4">
        <v>2022</v>
      </c>
      <c r="G23" s="5">
        <v>0.25309640705199732</v>
      </c>
      <c r="H23" s="5">
        <v>0.36686336813436221</v>
      </c>
      <c r="I23" s="5">
        <v>0.30997988759317974</v>
      </c>
    </row>
    <row r="24" spans="1:9" x14ac:dyDescent="0.2">
      <c r="A24" s="4">
        <v>2023</v>
      </c>
      <c r="B24">
        <v>383285</v>
      </c>
      <c r="C24">
        <v>211915</v>
      </c>
      <c r="D24">
        <v>595200</v>
      </c>
      <c r="F24" s="4">
        <v>2023</v>
      </c>
      <c r="G24" s="5">
        <v>0.25306234264320282</v>
      </c>
      <c r="H24" s="5">
        <v>0.34146237878394642</v>
      </c>
      <c r="I24" s="5">
        <v>0.29726236071357459</v>
      </c>
    </row>
    <row r="25" spans="1:9" x14ac:dyDescent="0.2">
      <c r="A25" s="4">
        <v>2024</v>
      </c>
      <c r="B25">
        <v>391035</v>
      </c>
      <c r="C25">
        <v>245122</v>
      </c>
      <c r="D25">
        <v>636157</v>
      </c>
      <c r="F25" s="4">
        <v>2024</v>
      </c>
      <c r="G25" s="5">
        <v>0.23971255769943867</v>
      </c>
      <c r="H25" s="5">
        <v>0.35955972944084985</v>
      </c>
      <c r="I25" s="5">
        <v>0.29963614357014423</v>
      </c>
    </row>
    <row r="26" spans="1:9" x14ac:dyDescent="0.2">
      <c r="A26" s="4">
        <v>2025</v>
      </c>
      <c r="B26">
        <v>416161</v>
      </c>
      <c r="C26">
        <v>281724</v>
      </c>
      <c r="D26">
        <v>697885</v>
      </c>
      <c r="F26" s="4">
        <v>2025</v>
      </c>
      <c r="G26" s="5">
        <v>0.26915064121818238</v>
      </c>
      <c r="H26" s="5">
        <v>0.36146015248967073</v>
      </c>
      <c r="I26" s="5">
        <v>0.31530539685392656</v>
      </c>
    </row>
    <row r="27" spans="1:9" x14ac:dyDescent="0.2">
      <c r="A27" s="4" t="s">
        <v>14</v>
      </c>
      <c r="B27">
        <v>4047960</v>
      </c>
      <c r="C27">
        <v>2073990</v>
      </c>
      <c r="D27">
        <v>6121950</v>
      </c>
      <c r="F27" s="4" t="s">
        <v>14</v>
      </c>
      <c r="G27" s="5">
        <v>0.23398097844429991</v>
      </c>
      <c r="H27" s="5">
        <v>0.28542302734178981</v>
      </c>
      <c r="I27" s="5">
        <v>0.25970200289304485</v>
      </c>
    </row>
    <row r="29" spans="1:9" x14ac:dyDescent="0.2">
      <c r="A29" s="3" t="s">
        <v>29</v>
      </c>
      <c r="B29" s="3" t="s">
        <v>26</v>
      </c>
      <c r="F29" s="3" t="s">
        <v>30</v>
      </c>
      <c r="G29" s="3" t="s">
        <v>26</v>
      </c>
    </row>
    <row r="30" spans="1:9" x14ac:dyDescent="0.2">
      <c r="A30" s="3" t="s">
        <v>13</v>
      </c>
      <c r="B30" t="s">
        <v>15</v>
      </c>
      <c r="C30" t="s">
        <v>17</v>
      </c>
      <c r="D30" t="s">
        <v>14</v>
      </c>
      <c r="F30" s="3" t="s">
        <v>13</v>
      </c>
      <c r="G30" t="s">
        <v>15</v>
      </c>
      <c r="H30" t="s">
        <v>17</v>
      </c>
      <c r="I30" t="s">
        <v>14</v>
      </c>
    </row>
    <row r="31" spans="1:9" x14ac:dyDescent="0.2">
      <c r="A31" s="4">
        <v>2011</v>
      </c>
      <c r="B31" s="5">
        <v>0.3383410559289956</v>
      </c>
      <c r="C31" s="5">
        <v>0.40614035087719297</v>
      </c>
      <c r="D31" s="5">
        <v>0.37224070340309429</v>
      </c>
      <c r="F31" s="4">
        <v>2011</v>
      </c>
      <c r="G31">
        <v>33269</v>
      </c>
      <c r="H31">
        <v>24639</v>
      </c>
      <c r="I31">
        <v>57908</v>
      </c>
    </row>
    <row r="32" spans="1:9" x14ac:dyDescent="0.2">
      <c r="A32" s="4">
        <v>2012</v>
      </c>
      <c r="B32" s="5">
        <v>0.35304119786820065</v>
      </c>
      <c r="C32" s="5">
        <v>0.25530827067669171</v>
      </c>
      <c r="D32" s="5">
        <v>0.30417473427244618</v>
      </c>
      <c r="F32" s="4">
        <v>2012</v>
      </c>
      <c r="G32">
        <v>42561</v>
      </c>
      <c r="H32">
        <v>29321</v>
      </c>
      <c r="I32">
        <v>71882</v>
      </c>
    </row>
    <row r="33" spans="1:9" x14ac:dyDescent="0.2">
      <c r="A33" s="4">
        <v>2013</v>
      </c>
      <c r="B33" s="5">
        <v>0.29977579745687943</v>
      </c>
      <c r="C33" s="5">
        <v>0.27709759188846639</v>
      </c>
      <c r="D33" s="5">
        <v>0.28843669467267291</v>
      </c>
      <c r="F33" s="4">
        <v>2013</v>
      </c>
      <c r="G33">
        <v>45501</v>
      </c>
      <c r="H33">
        <v>24567</v>
      </c>
      <c r="I33">
        <v>70068</v>
      </c>
    </row>
    <row r="34" spans="1:9" x14ac:dyDescent="0.2">
      <c r="A34" s="4">
        <v>2014</v>
      </c>
      <c r="B34" s="5">
        <v>0.35420047155010892</v>
      </c>
      <c r="C34" s="5">
        <v>0.24608695652173912</v>
      </c>
      <c r="D34" s="5">
        <v>0.30014371403592399</v>
      </c>
      <c r="F34" s="4">
        <v>2014</v>
      </c>
      <c r="G34">
        <v>50142</v>
      </c>
      <c r="H34">
        <v>27017</v>
      </c>
      <c r="I34">
        <v>77159</v>
      </c>
    </row>
    <row r="35" spans="1:9" x14ac:dyDescent="0.2">
      <c r="A35" s="4">
        <v>2015</v>
      </c>
      <c r="B35" s="5">
        <v>0.44735453060198566</v>
      </c>
      <c r="C35" s="5">
        <v>0.15241250000000001</v>
      </c>
      <c r="D35" s="5">
        <v>0.29988351530099283</v>
      </c>
      <c r="F35" s="4">
        <v>2015</v>
      </c>
      <c r="G35">
        <v>70019</v>
      </c>
      <c r="H35">
        <v>23724</v>
      </c>
      <c r="I35">
        <v>93743</v>
      </c>
    </row>
    <row r="36" spans="1:9" x14ac:dyDescent="0.2">
      <c r="A36" s="4">
        <v>2016</v>
      </c>
      <c r="B36" s="5">
        <v>0.35623669580269629</v>
      </c>
      <c r="C36" s="5">
        <v>0.28566063977746869</v>
      </c>
      <c r="D36" s="5">
        <v>0.32094866779008246</v>
      </c>
      <c r="F36" s="4">
        <v>2016</v>
      </c>
      <c r="G36">
        <v>53497</v>
      </c>
      <c r="H36">
        <v>24928</v>
      </c>
      <c r="I36">
        <v>78425</v>
      </c>
    </row>
    <row r="37" spans="1:9" x14ac:dyDescent="0.2">
      <c r="A37" s="4">
        <v>2017</v>
      </c>
      <c r="B37" s="5">
        <v>0.36070184338329092</v>
      </c>
      <c r="C37" s="5">
        <v>0.35205801104972373</v>
      </c>
      <c r="D37" s="5">
        <v>0.35637992721650735</v>
      </c>
      <c r="F37" s="4">
        <v>2017</v>
      </c>
      <c r="G37">
        <v>51774</v>
      </c>
      <c r="H37">
        <v>31378</v>
      </c>
      <c r="I37">
        <v>83152</v>
      </c>
    </row>
    <row r="38" spans="1:9" x14ac:dyDescent="0.2">
      <c r="A38" s="4">
        <v>2018</v>
      </c>
      <c r="B38" s="5">
        <v>0.5556011834209077</v>
      </c>
      <c r="C38" s="5">
        <v>0.20037484885126966</v>
      </c>
      <c r="D38" s="5">
        <v>0.37798801613608868</v>
      </c>
      <c r="F38" s="4">
        <v>2018</v>
      </c>
      <c r="G38">
        <v>64121</v>
      </c>
      <c r="H38">
        <v>32353</v>
      </c>
      <c r="I38">
        <v>96474</v>
      </c>
    </row>
    <row r="39" spans="1:9" x14ac:dyDescent="0.2">
      <c r="A39" s="4">
        <v>2019</v>
      </c>
      <c r="B39" s="5">
        <v>0.61064450534877557</v>
      </c>
      <c r="C39" s="5">
        <v>0.3835777126099707</v>
      </c>
      <c r="D39" s="5">
        <v>0.49711110897937316</v>
      </c>
      <c r="F39" s="4">
        <v>2019</v>
      </c>
      <c r="G39">
        <v>58896</v>
      </c>
      <c r="H39">
        <v>38260</v>
      </c>
      <c r="I39">
        <v>97156</v>
      </c>
    </row>
    <row r="40" spans="1:9" x14ac:dyDescent="0.2">
      <c r="A40" s="4">
        <v>2020</v>
      </c>
      <c r="B40" s="5">
        <v>0.87866358530127486</v>
      </c>
      <c r="C40" s="5">
        <v>0.37431107354184279</v>
      </c>
      <c r="D40" s="5">
        <v>0.62648732942155883</v>
      </c>
      <c r="F40" s="4">
        <v>2020</v>
      </c>
      <c r="G40">
        <v>73365</v>
      </c>
      <c r="H40">
        <v>45234</v>
      </c>
      <c r="I40">
        <v>118599</v>
      </c>
    </row>
    <row r="41" spans="1:9" x14ac:dyDescent="0.2">
      <c r="A41" s="4">
        <v>2021</v>
      </c>
      <c r="B41" s="5">
        <v>1.5007132667617689</v>
      </c>
      <c r="C41" s="5">
        <v>0.43178999295278364</v>
      </c>
      <c r="D41" s="5">
        <v>0.96625162985727631</v>
      </c>
      <c r="F41" s="4">
        <v>2021</v>
      </c>
      <c r="G41">
        <v>92953</v>
      </c>
      <c r="H41">
        <v>56118</v>
      </c>
      <c r="I41">
        <v>149071</v>
      </c>
    </row>
    <row r="42" spans="1:9" x14ac:dyDescent="0.2">
      <c r="A42" s="4">
        <v>2022</v>
      </c>
      <c r="B42" s="5">
        <v>1.9695887275023682</v>
      </c>
      <c r="C42" s="5">
        <v>0.43686486486486487</v>
      </c>
      <c r="D42" s="5">
        <v>1.2032267961836165</v>
      </c>
      <c r="F42" s="4">
        <v>2022</v>
      </c>
      <c r="G42">
        <v>111443</v>
      </c>
      <c r="H42">
        <v>65149</v>
      </c>
      <c r="I42">
        <v>176592</v>
      </c>
    </row>
    <row r="43" spans="1:9" x14ac:dyDescent="0.2">
      <c r="A43" s="4">
        <v>2023</v>
      </c>
      <c r="B43" s="5">
        <v>1.5607601454639075</v>
      </c>
      <c r="C43" s="5">
        <v>0.43329940119760479</v>
      </c>
      <c r="D43" s="5">
        <v>0.99702977333075615</v>
      </c>
      <c r="F43" s="4">
        <v>2023</v>
      </c>
      <c r="G43">
        <v>99584</v>
      </c>
      <c r="H43">
        <v>59475</v>
      </c>
      <c r="I43">
        <v>159059</v>
      </c>
    </row>
    <row r="44" spans="1:9" x14ac:dyDescent="0.2">
      <c r="A44" s="4">
        <v>2024</v>
      </c>
      <c r="B44" s="5">
        <v>1.6459350307287095</v>
      </c>
      <c r="C44" s="5">
        <v>0.42784466019417478</v>
      </c>
      <c r="D44" s="5">
        <v>1.0368898454614421</v>
      </c>
      <c r="F44" s="4">
        <v>2024</v>
      </c>
      <c r="G44">
        <v>108807</v>
      </c>
      <c r="H44">
        <v>74071</v>
      </c>
      <c r="I44">
        <v>182878</v>
      </c>
    </row>
    <row r="45" spans="1:9" x14ac:dyDescent="0.2">
      <c r="A45" s="4">
        <v>2025</v>
      </c>
      <c r="B45" s="5">
        <v>1.5191298333175105</v>
      </c>
      <c r="C45" s="5">
        <v>0.42786554621848738</v>
      </c>
      <c r="D45" s="5">
        <v>0.973497689767999</v>
      </c>
      <c r="F45" s="4">
        <v>2025</v>
      </c>
      <c r="G45">
        <v>98767</v>
      </c>
      <c r="H45">
        <v>71611</v>
      </c>
      <c r="I45">
        <v>170378</v>
      </c>
    </row>
    <row r="46" spans="1:9" x14ac:dyDescent="0.2">
      <c r="A46" s="4" t="s">
        <v>14</v>
      </c>
      <c r="B46" s="5">
        <v>0.85004585802915866</v>
      </c>
      <c r="C46" s="5">
        <v>0.3393794947481521</v>
      </c>
      <c r="D46" s="5">
        <v>0.59471267638865533</v>
      </c>
      <c r="F46" s="4" t="s">
        <v>14</v>
      </c>
      <c r="G46">
        <v>1054699</v>
      </c>
      <c r="H46">
        <v>627845</v>
      </c>
      <c r="I46">
        <v>1682544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F992D-A50F-A14E-98AF-FDFA9E8A1EF5}">
  <dimension ref="A1:S21"/>
  <sheetViews>
    <sheetView showGridLines="0" workbookViewId="0">
      <selection activeCell="O11" sqref="O11"/>
    </sheetView>
  </sheetViews>
  <sheetFormatPr baseColWidth="10" defaultRowHeight="16" x14ac:dyDescent="0.2"/>
  <cols>
    <col min="1" max="1" width="19" customWidth="1"/>
    <col min="2" max="2" width="19.5" customWidth="1"/>
    <col min="15" max="16" width="20.83203125" customWidth="1"/>
  </cols>
  <sheetData>
    <row r="1" spans="1:19" s="6" customFormat="1" ht="16" customHeight="1" x14ac:dyDescent="0.2">
      <c r="A1" s="35" t="s">
        <v>32</v>
      </c>
      <c r="B1" s="35"/>
      <c r="C1" s="35"/>
      <c r="D1" s="35"/>
      <c r="E1" s="35"/>
      <c r="F1" s="35"/>
      <c r="G1" s="35"/>
      <c r="H1" s="35"/>
      <c r="I1" s="35"/>
      <c r="J1" s="35"/>
      <c r="K1" s="35"/>
    </row>
    <row r="2" spans="1:19" s="6" customFormat="1" ht="22" customHeight="1" x14ac:dyDescent="0.2">
      <c r="A2" s="35"/>
      <c r="B2" s="35"/>
      <c r="C2" s="35"/>
      <c r="D2" s="35"/>
      <c r="E2" s="35"/>
      <c r="F2" s="35"/>
      <c r="G2" s="35"/>
      <c r="H2" s="35"/>
      <c r="I2" s="35"/>
      <c r="J2" s="35"/>
      <c r="K2" s="35"/>
    </row>
    <row r="10" spans="1:19" ht="25" customHeight="1" x14ac:dyDescent="0.3">
      <c r="O10" s="31" t="s">
        <v>18</v>
      </c>
      <c r="P10" s="31" t="s">
        <v>1</v>
      </c>
      <c r="S10" t="s">
        <v>33</v>
      </c>
    </row>
    <row r="11" spans="1:19" ht="27" customHeight="1" x14ac:dyDescent="0.3">
      <c r="O11" s="32" t="s">
        <v>17</v>
      </c>
      <c r="P11" s="32">
        <v>2025</v>
      </c>
      <c r="Q11" s="33" t="s">
        <v>31</v>
      </c>
    </row>
    <row r="13" spans="1:19" ht="16" customHeight="1" x14ac:dyDescent="0.2">
      <c r="A13" s="28"/>
      <c r="B13" s="28"/>
      <c r="C13" s="28" t="s">
        <v>16</v>
      </c>
      <c r="D13" s="28"/>
      <c r="E13" s="28"/>
      <c r="F13" s="28"/>
    </row>
    <row r="14" spans="1:19" ht="16" customHeight="1" x14ac:dyDescent="0.2">
      <c r="A14" s="34" t="s">
        <v>0</v>
      </c>
      <c r="B14" s="34" t="s">
        <v>9</v>
      </c>
      <c r="C14" s="34" t="s">
        <v>10</v>
      </c>
      <c r="D14" s="34" t="s">
        <v>8</v>
      </c>
      <c r="E14" s="34" t="s">
        <v>11</v>
      </c>
      <c r="F14" s="34"/>
      <c r="G14" s="27"/>
      <c r="H14" s="27"/>
      <c r="I14" s="27"/>
      <c r="J14" s="27"/>
    </row>
    <row r="15" spans="1:19" ht="22" customHeight="1" x14ac:dyDescent="0.2">
      <c r="A15" s="28" cm="1">
        <f t="array" ref="A15">_xlfn.XLOOKUP(1, (tblClean[[Company ]]=O11)*(tblClean[[Year ]]=P11),tblClean[Revenue])</f>
        <v>281724</v>
      </c>
      <c r="B15" s="29" cm="1">
        <f t="array" ref="B15">_xlfn.XLOOKUP(1, (tblClean[[Company ]]=O11)*(tblClean[[Year ]]=P11),tblClean[Net Margin (%)])</f>
        <v>0.36146015248967073</v>
      </c>
      <c r="C15" s="30" cm="1">
        <f t="array" ref="C15">_xlfn.XLOOKUP(1,(tblClean[[Company ]]=O11)*(tblClean[[Year ]]=P11),tblClean[ROE (%)])</f>
        <v>0.42786554621848738</v>
      </c>
      <c r="D15" s="28" cm="1">
        <f t="array" ref="D15">_xlfn.XLOOKUP(1,(tblClean[[Company ]]=O11)*(tblClean[[Year ]]=P11),tblClean[FCF])</f>
        <v>71611</v>
      </c>
      <c r="E15" s="29" cm="1">
        <f t="array" ref="E15">_xlfn.XLOOKUP(1, (tblClean[[Company ]]=O11)*(tblClean[[Year ]]=P11),tblClean[Debt Ratio])</f>
        <v>6.4865912762520198E-2</v>
      </c>
      <c r="F15" s="28"/>
    </row>
    <row r="16" spans="1:19" x14ac:dyDescent="0.2">
      <c r="A16" s="28" t="str">
        <f>"Revenue $" &amp; CHAR(10) &amp; TEXT(A15,"#,##0")</f>
        <v>Revenue $
281,724</v>
      </c>
      <c r="B16" s="28" t="str">
        <f>"Net Margin %" &amp; CHAR(10) &amp; TEXT(B15,"0.00%")</f>
        <v>Net Margin %
36.15%</v>
      </c>
      <c r="C16" s="28" t="str">
        <f>"ROE %" &amp; CHAR(10) &amp; TEXT(C15,"0%")</f>
        <v>ROE %
43%</v>
      </c>
      <c r="D16" s="28" t="str">
        <f>"FCF $" &amp; CHAR(10) &amp; TEXT(D15,"#,##0")</f>
        <v>FCF $
71,611</v>
      </c>
      <c r="E16" s="28" t="str">
        <f>"Debt Ratio" &amp; CHAR(10) &amp; TEXT(E15,"0.00%")</f>
        <v>Debt Ratio
6.49%</v>
      </c>
      <c r="F16" s="28"/>
    </row>
    <row r="17" spans="1:6" ht="13" customHeight="1" x14ac:dyDescent="0.2">
      <c r="A17" s="28"/>
      <c r="B17" s="28"/>
      <c r="C17" s="28"/>
      <c r="D17" s="28"/>
      <c r="E17" s="28"/>
      <c r="F17" s="28"/>
    </row>
    <row r="18" spans="1:6" x14ac:dyDescent="0.2">
      <c r="A18" s="28"/>
      <c r="B18" s="28"/>
      <c r="C18" s="28"/>
      <c r="D18" s="28"/>
      <c r="E18" s="28"/>
      <c r="F18" s="28"/>
    </row>
    <row r="19" spans="1:6" x14ac:dyDescent="0.2">
      <c r="A19" s="28"/>
      <c r="B19" s="28"/>
      <c r="C19" s="28"/>
      <c r="D19" s="28"/>
      <c r="E19" s="28"/>
      <c r="F19" s="28"/>
    </row>
    <row r="20" spans="1:6" x14ac:dyDescent="0.2">
      <c r="A20" s="28"/>
      <c r="B20" s="28"/>
      <c r="C20" s="28"/>
      <c r="D20" s="28"/>
      <c r="E20" s="28"/>
      <c r="F20" s="28"/>
    </row>
    <row r="21" spans="1:6" x14ac:dyDescent="0.2">
      <c r="A21" s="28"/>
      <c r="B21" s="28"/>
      <c r="C21" s="28"/>
      <c r="D21" s="28"/>
      <c r="E21" s="28"/>
      <c r="F21" s="28"/>
    </row>
  </sheetData>
  <dataConsolidate/>
  <mergeCells count="1">
    <mergeCell ref="A1:K2"/>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C2538E1-EC36-824A-84AB-D998D15AE491}">
          <x14:formula1>
            <xm:f>Clean_Data!$B$2:$B$16</xm:f>
          </x14:formula1>
          <xm:sqref>P11</xm:sqref>
        </x14:dataValidation>
        <x14:dataValidation type="list" allowBlank="1" showInputMessage="1" showErrorMessage="1" xr:uid="{5E4092E3-1BCE-C845-AE06-2C3B264BA6E1}">
          <x14:formula1>
            <xm:f>Clean_Data!$A$16:$A$17</xm:f>
          </x14:formula1>
          <xm:sqref>O11</xm:sqref>
        </x14:dataValidation>
      </x14:dataValidation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3B413C-4672-0746-B6D6-F563081690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Raw_Data</vt:lpstr>
      <vt:lpstr>Clean_Data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Kieran O'Connell</dc:creator>
  <cp:lastModifiedBy>Kieran O'Connell</cp:lastModifiedBy>
  <dcterms:created xsi:type="dcterms:W3CDTF">2026-03-18T09:42:31Z</dcterms:created>
  <dcterms:modified xsi:type="dcterms:W3CDTF">2026-03-22T19:33:50Z</dcterms:modified>
</cp:coreProperties>
</file>